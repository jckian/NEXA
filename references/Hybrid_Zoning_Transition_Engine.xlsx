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CI-Arc\SP26-RESEARCH\programAgent\references\"/>
    </mc:Choice>
  </mc:AlternateContent>
  <xr:revisionPtr revIDLastSave="0" documentId="13_ncr:1_{B0B8A1C2-E723-4AE6-BE32-F1CEF1306353}" xr6:coauthVersionLast="47" xr6:coauthVersionMax="47" xr10:uidLastSave="{00000000-0000-0000-0000-000000000000}"/>
  <bookViews>
    <workbookView xWindow="9450" yWindow="-18120" windowWidth="29040" windowHeight="17520" tabRatio="793" activeTab="5" xr2:uid="{00000000-000D-0000-FFFF-FFFF00000000}"/>
  </bookViews>
  <sheets>
    <sheet name="ReadMe" sheetId="1" r:id="rId1"/>
    <sheet name="L0_Decomposition" sheetId="2" r:id="rId2"/>
    <sheet name="L1_Programs" sheetId="3" r:id="rId3"/>
    <sheet name="L2_Requirements" sheetId="4" r:id="rId4"/>
    <sheet name="L3_Genome" sheetId="5" r:id="rId5"/>
    <sheet name="L6_Circularity" sheetId="6" r:id="rId6"/>
    <sheet name="L4_Multipliers" sheetId="7" r:id="rId7"/>
    <sheet name="Allocation" sheetId="8" r:id="rId8"/>
    <sheet name="Building_Summary" sheetId="9" r:id="rId9"/>
    <sheet name="Transition_Engine" sheetId="10" r:id="rId10"/>
    <sheet name="Global_System" sheetId="11" r:id="rId11"/>
    <sheet name="Sources" sheetId="12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7" i="11" l="1"/>
  <c r="D37" i="11"/>
  <c r="B37" i="11"/>
  <c r="E36" i="11"/>
  <c r="D36" i="11"/>
  <c r="B36" i="11"/>
  <c r="E35" i="11"/>
  <c r="D35" i="11"/>
  <c r="B35" i="11"/>
  <c r="E34" i="11"/>
  <c r="D34" i="11"/>
  <c r="B34" i="11"/>
  <c r="E33" i="11"/>
  <c r="D33" i="11"/>
  <c r="B33" i="11"/>
  <c r="E32" i="11"/>
  <c r="D32" i="11"/>
  <c r="B32" i="11"/>
  <c r="E31" i="11"/>
  <c r="D31" i="11"/>
  <c r="B31" i="11"/>
  <c r="E30" i="11"/>
  <c r="D30" i="11"/>
  <c r="B30" i="11"/>
  <c r="E29" i="11"/>
  <c r="D29" i="11"/>
  <c r="B29" i="11"/>
  <c r="E28" i="11"/>
  <c r="D28" i="11"/>
  <c r="B28" i="11"/>
  <c r="E27" i="11"/>
  <c r="D27" i="11"/>
  <c r="B27" i="11"/>
  <c r="E26" i="11"/>
  <c r="D26" i="11"/>
  <c r="B26" i="11"/>
  <c r="E25" i="11"/>
  <c r="D25" i="11"/>
  <c r="B25" i="11"/>
  <c r="E24" i="11"/>
  <c r="D24" i="11"/>
  <c r="B24" i="11"/>
  <c r="E23" i="11"/>
  <c r="D23" i="11"/>
  <c r="B23" i="11"/>
  <c r="E22" i="11"/>
  <c r="D22" i="11"/>
  <c r="B22" i="11"/>
  <c r="E21" i="11"/>
  <c r="D21" i="11"/>
  <c r="B21" i="11"/>
  <c r="E20" i="11"/>
  <c r="D20" i="11"/>
  <c r="B20" i="11"/>
  <c r="E19" i="11"/>
  <c r="D19" i="11"/>
  <c r="B19" i="11"/>
  <c r="E18" i="11"/>
  <c r="D18" i="11"/>
  <c r="B18" i="11"/>
  <c r="E17" i="11"/>
  <c r="D17" i="11"/>
  <c r="B17" i="11"/>
  <c r="E16" i="11"/>
  <c r="D16" i="11"/>
  <c r="B16" i="11"/>
  <c r="E15" i="11"/>
  <c r="D15" i="11"/>
  <c r="B15" i="11"/>
  <c r="E14" i="11"/>
  <c r="D14" i="11"/>
  <c r="B14" i="11"/>
  <c r="E13" i="11"/>
  <c r="D13" i="11"/>
  <c r="B13" i="11"/>
  <c r="E12" i="11"/>
  <c r="D12" i="11"/>
  <c r="B12" i="11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M4" i="10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L5" i="9"/>
  <c r="Y30" i="8"/>
  <c r="X30" i="8"/>
  <c r="W30" i="8"/>
  <c r="V30" i="8"/>
  <c r="U30" i="8"/>
  <c r="AA30" i="8" s="1"/>
  <c r="T30" i="8"/>
  <c r="Z30" i="8" s="1"/>
  <c r="Y29" i="8"/>
  <c r="X29" i="8"/>
  <c r="W29" i="8"/>
  <c r="V29" i="8"/>
  <c r="U29" i="8"/>
  <c r="T29" i="8"/>
  <c r="Y28" i="8"/>
  <c r="X28" i="8"/>
  <c r="W28" i="8"/>
  <c r="V28" i="8"/>
  <c r="U28" i="8"/>
  <c r="T28" i="8"/>
  <c r="Z28" i="8" s="1"/>
  <c r="Y27" i="8"/>
  <c r="X27" i="8"/>
  <c r="W27" i="8"/>
  <c r="V27" i="8"/>
  <c r="U27" i="8"/>
  <c r="T27" i="8"/>
  <c r="Y26" i="8"/>
  <c r="X26" i="8"/>
  <c r="W26" i="8"/>
  <c r="V26" i="8"/>
  <c r="AB26" i="8" s="1"/>
  <c r="U26" i="8"/>
  <c r="T26" i="8"/>
  <c r="Y25" i="8"/>
  <c r="X25" i="8"/>
  <c r="W25" i="8"/>
  <c r="V25" i="8"/>
  <c r="U25" i="8"/>
  <c r="T25" i="8"/>
  <c r="Y24" i="8"/>
  <c r="X24" i="8"/>
  <c r="W24" i="8"/>
  <c r="V24" i="8"/>
  <c r="U24" i="8"/>
  <c r="T24" i="8"/>
  <c r="Y23" i="8"/>
  <c r="X23" i="8"/>
  <c r="W23" i="8"/>
  <c r="V23" i="8"/>
  <c r="U23" i="8"/>
  <c r="T23" i="8"/>
  <c r="Y22" i="8"/>
  <c r="X22" i="8"/>
  <c r="W22" i="8"/>
  <c r="V22" i="8"/>
  <c r="U22" i="8"/>
  <c r="T22" i="8"/>
  <c r="Y21" i="8"/>
  <c r="X21" i="8"/>
  <c r="W21" i="8"/>
  <c r="V21" i="8"/>
  <c r="U21" i="8"/>
  <c r="T21" i="8"/>
  <c r="Z21" i="8" s="1"/>
  <c r="Y20" i="8"/>
  <c r="X20" i="8"/>
  <c r="W20" i="8"/>
  <c r="V20" i="8"/>
  <c r="U20" i="8"/>
  <c r="T20" i="8"/>
  <c r="Y19" i="8"/>
  <c r="X19" i="8"/>
  <c r="W19" i="8"/>
  <c r="V19" i="8"/>
  <c r="U19" i="8"/>
  <c r="T19" i="8"/>
  <c r="Y18" i="8"/>
  <c r="X18" i="8"/>
  <c r="W18" i="8"/>
  <c r="V18" i="8"/>
  <c r="U18" i="8"/>
  <c r="T18" i="8"/>
  <c r="Y17" i="8"/>
  <c r="AB17" i="8" s="1"/>
  <c r="X17" i="8"/>
  <c r="W17" i="8"/>
  <c r="V17" i="8"/>
  <c r="U17" i="8"/>
  <c r="T17" i="8"/>
  <c r="Y16" i="8"/>
  <c r="X16" i="8"/>
  <c r="W16" i="8"/>
  <c r="V16" i="8"/>
  <c r="U16" i="8"/>
  <c r="T16" i="8"/>
  <c r="Z15" i="8"/>
  <c r="Y15" i="8"/>
  <c r="X15" i="8"/>
  <c r="W15" i="8"/>
  <c r="V15" i="8"/>
  <c r="U15" i="8"/>
  <c r="T15" i="8"/>
  <c r="Y14" i="8"/>
  <c r="X14" i="8"/>
  <c r="W14" i="8"/>
  <c r="V14" i="8"/>
  <c r="U14" i="8"/>
  <c r="T14" i="8"/>
  <c r="Y13" i="8"/>
  <c r="X13" i="8"/>
  <c r="W13" i="8"/>
  <c r="V13" i="8"/>
  <c r="U13" i="8"/>
  <c r="T13" i="8"/>
  <c r="Y12" i="8"/>
  <c r="X12" i="8"/>
  <c r="W12" i="8"/>
  <c r="V12" i="8"/>
  <c r="U12" i="8"/>
  <c r="T12" i="8"/>
  <c r="Z11" i="8"/>
  <c r="Y11" i="8"/>
  <c r="X11" i="8"/>
  <c r="W11" i="8"/>
  <c r="V11" i="8"/>
  <c r="U11" i="8"/>
  <c r="T11" i="8"/>
  <c r="Y10" i="8"/>
  <c r="X10" i="8"/>
  <c r="W10" i="8"/>
  <c r="V10" i="8"/>
  <c r="U10" i="8"/>
  <c r="AA10" i="8" s="1"/>
  <c r="T10" i="8"/>
  <c r="Z10" i="8" s="1"/>
  <c r="Y9" i="8"/>
  <c r="X9" i="8"/>
  <c r="W9" i="8"/>
  <c r="V9" i="8"/>
  <c r="U9" i="8"/>
  <c r="T9" i="8"/>
  <c r="Y8" i="8"/>
  <c r="X8" i="8"/>
  <c r="W8" i="8"/>
  <c r="V8" i="8"/>
  <c r="U8" i="8"/>
  <c r="T8" i="8"/>
  <c r="Y7" i="8"/>
  <c r="X7" i="8"/>
  <c r="W7" i="8"/>
  <c r="V7" i="8"/>
  <c r="U7" i="8"/>
  <c r="T7" i="8"/>
  <c r="Y6" i="8"/>
  <c r="X6" i="8"/>
  <c r="W6" i="8"/>
  <c r="V6" i="8"/>
  <c r="U6" i="8"/>
  <c r="T6" i="8"/>
  <c r="Y5" i="8"/>
  <c r="X5" i="8"/>
  <c r="W5" i="8"/>
  <c r="V5" i="8"/>
  <c r="U5" i="8"/>
  <c r="T5" i="8"/>
  <c r="G2" i="8"/>
  <c r="C17" i="6"/>
  <c r="L2" i="8" s="1"/>
  <c r="AB13" i="8" s="1"/>
  <c r="B17" i="6"/>
  <c r="C16" i="6"/>
  <c r="K2" i="8" s="1"/>
  <c r="B16" i="6"/>
  <c r="C15" i="6"/>
  <c r="J2" i="8" s="1"/>
  <c r="B15" i="6"/>
  <c r="AB6" i="8" l="1"/>
  <c r="AB28" i="8"/>
  <c r="AE28" i="8" s="1"/>
  <c r="H34" i="9" s="1"/>
  <c r="AB24" i="8"/>
  <c r="AA23" i="8"/>
  <c r="Z22" i="8"/>
  <c r="AB8" i="8"/>
  <c r="AA7" i="8"/>
  <c r="AD7" i="8" s="1"/>
  <c r="G13" i="9" s="1"/>
  <c r="Z6" i="8"/>
  <c r="AA24" i="8"/>
  <c r="AD24" i="8" s="1"/>
  <c r="G30" i="9" s="1"/>
  <c r="AA21" i="8"/>
  <c r="AB14" i="8"/>
  <c r="AB18" i="8"/>
  <c r="Z9" i="8"/>
  <c r="Z23" i="8"/>
  <c r="AA27" i="8"/>
  <c r="Z29" i="8"/>
  <c r="AB5" i="8"/>
  <c r="AA9" i="8"/>
  <c r="AA12" i="8"/>
  <c r="AB27" i="8"/>
  <c r="AE27" i="8" s="1"/>
  <c r="H33" i="9" s="1"/>
  <c r="AA29" i="8"/>
  <c r="AD29" i="8" s="1"/>
  <c r="G35" i="9" s="1"/>
  <c r="AB10" i="8"/>
  <c r="AE10" i="8" s="1"/>
  <c r="H16" i="9" s="1"/>
  <c r="AA14" i="8"/>
  <c r="AD14" i="8" s="1"/>
  <c r="G20" i="9" s="1"/>
  <c r="AA19" i="8"/>
  <c r="AB12" i="8"/>
  <c r="AE12" i="8" s="1"/>
  <c r="H18" i="9" s="1"/>
  <c r="AA18" i="8"/>
  <c r="AD18" i="8" s="1"/>
  <c r="G24" i="9" s="1"/>
  <c r="AA5" i="8"/>
  <c r="AA22" i="8"/>
  <c r="Z7" i="8"/>
  <c r="AA11" i="8"/>
  <c r="AC11" i="8" s="1"/>
  <c r="Z13" i="8"/>
  <c r="AB25" i="8"/>
  <c r="AB11" i="8"/>
  <c r="AE11" i="8" s="1"/>
  <c r="H17" i="9" s="1"/>
  <c r="AA13" i="8"/>
  <c r="AD13" i="8" s="1"/>
  <c r="G19" i="9" s="1"/>
  <c r="AA15" i="8"/>
  <c r="AD15" i="8" s="1"/>
  <c r="G21" i="9" s="1"/>
  <c r="Z17" i="8"/>
  <c r="AC17" i="8" s="1"/>
  <c r="Z24" i="8"/>
  <c r="AC15" i="8"/>
  <c r="AD10" i="8"/>
  <c r="G16" i="9" s="1"/>
  <c r="Z5" i="8"/>
  <c r="AC5" i="8" s="1"/>
  <c r="AA6" i="8"/>
  <c r="AD6" i="8" s="1"/>
  <c r="G12" i="9" s="1"/>
  <c r="Z26" i="8"/>
  <c r="AB29" i="8"/>
  <c r="AB30" i="8"/>
  <c r="AE30" i="8" s="1"/>
  <c r="H36" i="9" s="1"/>
  <c r="Z12" i="8"/>
  <c r="Z14" i="8"/>
  <c r="Z19" i="8"/>
  <c r="Z16" i="8"/>
  <c r="AB23" i="8"/>
  <c r="AE23" i="8" s="1"/>
  <c r="H29" i="9" s="1"/>
  <c r="AA8" i="8"/>
  <c r="Z25" i="8"/>
  <c r="AC25" i="8" s="1"/>
  <c r="AB16" i="8"/>
  <c r="AE16" i="8" s="1"/>
  <c r="H22" i="9" s="1"/>
  <c r="AB21" i="8"/>
  <c r="AE21" i="8" s="1"/>
  <c r="H27" i="9" s="1"/>
  <c r="AA25" i="8"/>
  <c r="AA28" i="8"/>
  <c r="AB7" i="8"/>
  <c r="AA16" i="8"/>
  <c r="Z18" i="8"/>
  <c r="Z20" i="8"/>
  <c r="AB15" i="8"/>
  <c r="AA17" i="8"/>
  <c r="AA20" i="8"/>
  <c r="Z27" i="8"/>
  <c r="AB9" i="8"/>
  <c r="AE9" i="8" s="1"/>
  <c r="H15" i="9" s="1"/>
  <c r="AB20" i="8"/>
  <c r="AE20" i="8" s="1"/>
  <c r="H26" i="9" s="1"/>
  <c r="AB22" i="8"/>
  <c r="AE22" i="8" s="1"/>
  <c r="H28" i="9" s="1"/>
  <c r="Z8" i="8"/>
  <c r="AC8" i="8" s="1"/>
  <c r="AB19" i="8"/>
  <c r="AE19" i="8" s="1"/>
  <c r="H25" i="9" s="1"/>
  <c r="AA26" i="8"/>
  <c r="AD26" i="8" s="1"/>
  <c r="G32" i="9" s="1"/>
  <c r="F17" i="9" l="1"/>
  <c r="AH11" i="8"/>
  <c r="AD8" i="8"/>
  <c r="G14" i="9" s="1"/>
  <c r="F21" i="9"/>
  <c r="AD25" i="8"/>
  <c r="G31" i="9" s="1"/>
  <c r="AC26" i="8"/>
  <c r="AE14" i="8"/>
  <c r="H20" i="9" s="1"/>
  <c r="AD21" i="8"/>
  <c r="G27" i="9" s="1"/>
  <c r="F31" i="9"/>
  <c r="AH25" i="8"/>
  <c r="AG25" i="8"/>
  <c r="F11" i="9"/>
  <c r="AD19" i="8"/>
  <c r="G25" i="9" s="1"/>
  <c r="AC6" i="8"/>
  <c r="AC24" i="8"/>
  <c r="AE8" i="8"/>
  <c r="H14" i="9" s="1"/>
  <c r="AC16" i="8"/>
  <c r="AC27" i="8"/>
  <c r="F23" i="9"/>
  <c r="AH17" i="8"/>
  <c r="AG17" i="8"/>
  <c r="AF17" i="8"/>
  <c r="AC22" i="8"/>
  <c r="AC19" i="8"/>
  <c r="AD12" i="8"/>
  <c r="G18" i="9" s="1"/>
  <c r="AD23" i="8"/>
  <c r="G29" i="9" s="1"/>
  <c r="AD20" i="8"/>
  <c r="G26" i="9" s="1"/>
  <c r="AC14" i="8"/>
  <c r="AD9" i="8"/>
  <c r="G15" i="9" s="1"/>
  <c r="AE24" i="8"/>
  <c r="H30" i="9" s="1"/>
  <c r="AD17" i="8"/>
  <c r="G23" i="9" s="1"/>
  <c r="AC12" i="8"/>
  <c r="AE15" i="8"/>
  <c r="H21" i="9" s="1"/>
  <c r="AE5" i="8"/>
  <c r="H11" i="9" s="1"/>
  <c r="AE25" i="8"/>
  <c r="H31" i="9" s="1"/>
  <c r="AD30" i="8"/>
  <c r="G36" i="9" s="1"/>
  <c r="AC23" i="8"/>
  <c r="AC10" i="8"/>
  <c r="AH8" i="8"/>
  <c r="F14" i="9"/>
  <c r="AC20" i="8"/>
  <c r="AC13" i="8"/>
  <c r="AE17" i="8"/>
  <c r="H23" i="9" s="1"/>
  <c r="AC18" i="8"/>
  <c r="AC28" i="8"/>
  <c r="AD27" i="8"/>
  <c r="G33" i="9" s="1"/>
  <c r="AE13" i="8"/>
  <c r="H19" i="9" s="1"/>
  <c r="AD16" i="8"/>
  <c r="G22" i="9" s="1"/>
  <c r="AE26" i="8"/>
  <c r="H32" i="9" s="1"/>
  <c r="AE7" i="8"/>
  <c r="H13" i="9" s="1"/>
  <c r="AD22" i="8"/>
  <c r="G28" i="9" s="1"/>
  <c r="AC9" i="8"/>
  <c r="AC21" i="8"/>
  <c r="AE6" i="8"/>
  <c r="H12" i="9" s="1"/>
  <c r="AC29" i="8"/>
  <c r="AD11" i="8"/>
  <c r="G17" i="9" s="1"/>
  <c r="AC7" i="8"/>
  <c r="AD28" i="8"/>
  <c r="G34" i="9" s="1"/>
  <c r="AE29" i="8"/>
  <c r="H35" i="9" s="1"/>
  <c r="AD5" i="8"/>
  <c r="G11" i="9" s="1"/>
  <c r="AE18" i="8"/>
  <c r="H24" i="9" s="1"/>
  <c r="AC30" i="8"/>
  <c r="F29" i="9" l="1"/>
  <c r="AG23" i="8"/>
  <c r="AF23" i="8"/>
  <c r="AH23" i="8"/>
  <c r="F27" i="9"/>
  <c r="AG21" i="8"/>
  <c r="AH21" i="8"/>
  <c r="AF21" i="8"/>
  <c r="AH22" i="8"/>
  <c r="AF22" i="8"/>
  <c r="F28" i="9"/>
  <c r="AG22" i="8"/>
  <c r="F15" i="9"/>
  <c r="AH9" i="8"/>
  <c r="AF9" i="8"/>
  <c r="AG9" i="8"/>
  <c r="J31" i="9"/>
  <c r="I31" i="9"/>
  <c r="F32" i="9"/>
  <c r="AF26" i="8"/>
  <c r="AH26" i="8"/>
  <c r="AG26" i="8"/>
  <c r="AH16" i="8"/>
  <c r="AG16" i="8"/>
  <c r="AF16" i="8"/>
  <c r="F22" i="9"/>
  <c r="F16" i="9"/>
  <c r="AF10" i="8"/>
  <c r="AH10" i="8"/>
  <c r="AG10" i="8"/>
  <c r="AH28" i="8"/>
  <c r="AF28" i="8"/>
  <c r="AG28" i="8"/>
  <c r="F34" i="9"/>
  <c r="C23" i="9"/>
  <c r="E19" i="10"/>
  <c r="D16" i="10"/>
  <c r="C24" i="11"/>
  <c r="E20" i="10"/>
  <c r="E38" i="10"/>
  <c r="D38" i="10"/>
  <c r="E17" i="10"/>
  <c r="C38" i="10"/>
  <c r="J23" i="9"/>
  <c r="I23" i="9"/>
  <c r="AG27" i="8"/>
  <c r="AF27" i="8"/>
  <c r="AH27" i="8"/>
  <c r="F33" i="9"/>
  <c r="L7" i="9"/>
  <c r="AH6" i="8"/>
  <c r="AF6" i="8"/>
  <c r="F12" i="9"/>
  <c r="AG6" i="8"/>
  <c r="F19" i="9"/>
  <c r="AG13" i="8"/>
  <c r="AH13" i="8"/>
  <c r="AF13" i="8"/>
  <c r="AF5" i="8"/>
  <c r="F13" i="9"/>
  <c r="AG7" i="8"/>
  <c r="AF7" i="8"/>
  <c r="AH7" i="8"/>
  <c r="AH5" i="8"/>
  <c r="AF8" i="8"/>
  <c r="J11" i="9"/>
  <c r="I11" i="9"/>
  <c r="J17" i="9"/>
  <c r="I17" i="9"/>
  <c r="L8" i="9"/>
  <c r="AF30" i="8"/>
  <c r="F36" i="9"/>
  <c r="AH30" i="8"/>
  <c r="AG30" i="8"/>
  <c r="AH12" i="8"/>
  <c r="AF12" i="8"/>
  <c r="AG12" i="8"/>
  <c r="F18" i="9"/>
  <c r="AH15" i="8"/>
  <c r="AH24" i="8"/>
  <c r="AG24" i="8"/>
  <c r="AF24" i="8"/>
  <c r="F30" i="9"/>
  <c r="J21" i="9"/>
  <c r="I21" i="9"/>
  <c r="AH18" i="8"/>
  <c r="AF18" i="8"/>
  <c r="F24" i="9"/>
  <c r="AG18" i="8"/>
  <c r="AF15" i="8"/>
  <c r="AG15" i="8"/>
  <c r="AF14" i="8"/>
  <c r="F20" i="9"/>
  <c r="AH14" i="8"/>
  <c r="AG14" i="8"/>
  <c r="AH20" i="8"/>
  <c r="AF20" i="8"/>
  <c r="AG20" i="8"/>
  <c r="F26" i="9"/>
  <c r="I14" i="9"/>
  <c r="J14" i="9"/>
  <c r="AG5" i="8"/>
  <c r="AF11" i="8"/>
  <c r="F35" i="9"/>
  <c r="AG29" i="8"/>
  <c r="AH29" i="8"/>
  <c r="AF29" i="8"/>
  <c r="AG8" i="8"/>
  <c r="F25" i="9"/>
  <c r="AG19" i="8"/>
  <c r="AF19" i="8"/>
  <c r="AH19" i="8"/>
  <c r="AF25" i="8"/>
  <c r="AG11" i="8"/>
  <c r="C34" i="9" l="1"/>
  <c r="C35" i="11"/>
  <c r="E49" i="10"/>
  <c r="D49" i="10"/>
  <c r="C49" i="10"/>
  <c r="I18" i="9"/>
  <c r="J18" i="9"/>
  <c r="E48" i="10"/>
  <c r="D48" i="10"/>
  <c r="C48" i="10"/>
  <c r="C34" i="11"/>
  <c r="C33" i="9"/>
  <c r="E30" i="10"/>
  <c r="D30" i="10"/>
  <c r="C30" i="10"/>
  <c r="C16" i="11"/>
  <c r="C15" i="9"/>
  <c r="J20" i="9"/>
  <c r="I20" i="9"/>
  <c r="D15" i="10"/>
  <c r="C18" i="9"/>
  <c r="E16" i="10"/>
  <c r="L16" i="10" s="1"/>
  <c r="C19" i="11"/>
  <c r="E33" i="10"/>
  <c r="D33" i="10"/>
  <c r="C33" i="10"/>
  <c r="E36" i="10"/>
  <c r="D36" i="10"/>
  <c r="C36" i="10"/>
  <c r="C22" i="11"/>
  <c r="C21" i="9"/>
  <c r="I22" i="9"/>
  <c r="J22" i="9"/>
  <c r="J35" i="9"/>
  <c r="I35" i="9"/>
  <c r="E39" i="10"/>
  <c r="C25" i="11"/>
  <c r="D39" i="10"/>
  <c r="C39" i="10"/>
  <c r="C24" i="9"/>
  <c r="J12" i="9"/>
  <c r="L11" i="9" s="1"/>
  <c r="I12" i="9"/>
  <c r="L9" i="9" s="1"/>
  <c r="I16" i="10"/>
  <c r="H16" i="10"/>
  <c r="G16" i="10"/>
  <c r="F16" i="10"/>
  <c r="J16" i="10" s="1"/>
  <c r="J27" i="9"/>
  <c r="I27" i="9"/>
  <c r="J25" i="9"/>
  <c r="I25" i="9"/>
  <c r="I16" i="9"/>
  <c r="J16" i="9"/>
  <c r="J19" i="9"/>
  <c r="I19" i="9"/>
  <c r="C32" i="9"/>
  <c r="C33" i="11"/>
  <c r="E47" i="10"/>
  <c r="D47" i="10"/>
  <c r="C47" i="10"/>
  <c r="D20" i="10"/>
  <c r="E40" i="10"/>
  <c r="D40" i="10"/>
  <c r="C40" i="10"/>
  <c r="C26" i="11"/>
  <c r="C25" i="9"/>
  <c r="J36" i="9"/>
  <c r="I36" i="9"/>
  <c r="E32" i="10"/>
  <c r="D32" i="10"/>
  <c r="C32" i="10"/>
  <c r="D14" i="10"/>
  <c r="C18" i="11"/>
  <c r="C17" i="9"/>
  <c r="C37" i="11"/>
  <c r="C36" i="9"/>
  <c r="E51" i="10"/>
  <c r="D51" i="10"/>
  <c r="C51" i="10"/>
  <c r="C27" i="9"/>
  <c r="C28" i="11"/>
  <c r="E42" i="10"/>
  <c r="D42" i="10"/>
  <c r="C42" i="10"/>
  <c r="D17" i="10"/>
  <c r="I26" i="9"/>
  <c r="J26" i="9"/>
  <c r="E15" i="10"/>
  <c r="C13" i="11"/>
  <c r="E27" i="10"/>
  <c r="D27" i="10"/>
  <c r="C27" i="10"/>
  <c r="C12" i="9"/>
  <c r="C30" i="9"/>
  <c r="E45" i="10"/>
  <c r="D45" i="10"/>
  <c r="C45" i="10"/>
  <c r="C5" i="11"/>
  <c r="B8" i="11" s="1"/>
  <c r="C31" i="11"/>
  <c r="I32" i="9"/>
  <c r="J32" i="9"/>
  <c r="C44" i="10"/>
  <c r="C30" i="11"/>
  <c r="E44" i="10"/>
  <c r="E18" i="10"/>
  <c r="D44" i="10"/>
  <c r="C29" i="9"/>
  <c r="C28" i="10"/>
  <c r="C14" i="11"/>
  <c r="E28" i="10"/>
  <c r="D28" i="10"/>
  <c r="C13" i="9"/>
  <c r="J15" i="9"/>
  <c r="I15" i="9"/>
  <c r="E50" i="10"/>
  <c r="D50" i="10"/>
  <c r="C36" i="11"/>
  <c r="C50" i="10"/>
  <c r="C35" i="9"/>
  <c r="C16" i="9"/>
  <c r="C17" i="11"/>
  <c r="E31" i="10"/>
  <c r="D31" i="10"/>
  <c r="C31" i="10"/>
  <c r="I30" i="9"/>
  <c r="J30" i="9"/>
  <c r="E41" i="10"/>
  <c r="D41" i="10"/>
  <c r="C41" i="10"/>
  <c r="C27" i="11"/>
  <c r="D21" i="10"/>
  <c r="C26" i="9"/>
  <c r="I34" i="9"/>
  <c r="J34" i="9"/>
  <c r="C21" i="11"/>
  <c r="C20" i="9"/>
  <c r="E35" i="10"/>
  <c r="D35" i="10"/>
  <c r="C35" i="10"/>
  <c r="J13" i="9"/>
  <c r="I13" i="9"/>
  <c r="C11" i="9"/>
  <c r="C12" i="11"/>
  <c r="E26" i="10"/>
  <c r="D26" i="10"/>
  <c r="E14" i="10"/>
  <c r="C26" i="10"/>
  <c r="J28" i="9"/>
  <c r="I28" i="9"/>
  <c r="E34" i="10"/>
  <c r="D34" i="10"/>
  <c r="C20" i="11"/>
  <c r="C34" i="10"/>
  <c r="C19" i="9"/>
  <c r="C29" i="11"/>
  <c r="E43" i="10"/>
  <c r="D43" i="10"/>
  <c r="C43" i="10"/>
  <c r="C28" i="9"/>
  <c r="I24" i="9"/>
  <c r="J24" i="9"/>
  <c r="D37" i="10"/>
  <c r="C37" i="10"/>
  <c r="D19" i="10"/>
  <c r="C22" i="9"/>
  <c r="C23" i="11"/>
  <c r="E21" i="10"/>
  <c r="E37" i="10"/>
  <c r="D18" i="10"/>
  <c r="L6" i="9"/>
  <c r="E46" i="10"/>
  <c r="D46" i="10"/>
  <c r="C46" i="10"/>
  <c r="C32" i="11"/>
  <c r="C31" i="9"/>
  <c r="C14" i="9"/>
  <c r="E29" i="10"/>
  <c r="D29" i="10"/>
  <c r="C29" i="10"/>
  <c r="C15" i="11"/>
  <c r="J33" i="9"/>
  <c r="I33" i="9"/>
  <c r="J29" i="9"/>
  <c r="I29" i="9"/>
  <c r="K16" i="10" l="1"/>
  <c r="O16" i="10"/>
  <c r="N16" i="10"/>
  <c r="M16" i="10"/>
  <c r="L14" i="10"/>
  <c r="I14" i="10"/>
  <c r="G14" i="10"/>
  <c r="F14" i="10"/>
  <c r="H14" i="10"/>
  <c r="G19" i="10"/>
  <c r="F19" i="10"/>
  <c r="I19" i="10"/>
  <c r="H19" i="10"/>
  <c r="L19" i="10"/>
  <c r="L10" i="9"/>
  <c r="G15" i="10"/>
  <c r="F15" i="10"/>
  <c r="I15" i="10"/>
  <c r="H15" i="10"/>
  <c r="L15" i="10"/>
  <c r="L17" i="10"/>
  <c r="I17" i="10"/>
  <c r="H17" i="10"/>
  <c r="G17" i="10"/>
  <c r="F17" i="10"/>
  <c r="J17" i="10" s="1"/>
  <c r="I20" i="10"/>
  <c r="H20" i="10"/>
  <c r="G20" i="10"/>
  <c r="F20" i="10"/>
  <c r="J20" i="10" s="1"/>
  <c r="L20" i="10"/>
  <c r="L18" i="10"/>
  <c r="I18" i="10"/>
  <c r="G18" i="10"/>
  <c r="F18" i="10"/>
  <c r="J18" i="10" s="1"/>
  <c r="H18" i="10"/>
  <c r="L21" i="10"/>
  <c r="I21" i="10"/>
  <c r="H21" i="10"/>
  <c r="G21" i="10"/>
  <c r="F21" i="10"/>
  <c r="J21" i="10" s="1"/>
  <c r="J15" i="10" l="1"/>
  <c r="J14" i="10"/>
  <c r="K20" i="10"/>
  <c r="O20" i="10"/>
  <c r="N20" i="10"/>
  <c r="M20" i="10"/>
  <c r="O18" i="10"/>
  <c r="N18" i="10"/>
  <c r="M18" i="10"/>
  <c r="K18" i="10"/>
  <c r="O21" i="10"/>
  <c r="N21" i="10"/>
  <c r="M21" i="10"/>
  <c r="K21" i="10"/>
  <c r="O17" i="10"/>
  <c r="M17" i="10"/>
  <c r="N17" i="10"/>
  <c r="K17" i="10"/>
  <c r="J19" i="10"/>
  <c r="O19" i="10" l="1"/>
  <c r="N19" i="10"/>
  <c r="M19" i="10"/>
  <c r="K19" i="10"/>
  <c r="F39" i="10"/>
  <c r="F48" i="10"/>
  <c r="F32" i="10"/>
  <c r="F41" i="10"/>
  <c r="F50" i="10"/>
  <c r="F34" i="10"/>
  <c r="F43" i="10"/>
  <c r="F27" i="10"/>
  <c r="O14" i="10"/>
  <c r="M14" i="10"/>
  <c r="F36" i="10"/>
  <c r="N14" i="10"/>
  <c r="F45" i="10"/>
  <c r="F29" i="10"/>
  <c r="F38" i="10"/>
  <c r="F47" i="10"/>
  <c r="F31" i="10"/>
  <c r="K14" i="10"/>
  <c r="F40" i="10"/>
  <c r="F49" i="10"/>
  <c r="F33" i="10"/>
  <c r="F42" i="10"/>
  <c r="F26" i="10"/>
  <c r="F51" i="10"/>
  <c r="F35" i="10"/>
  <c r="F44" i="10"/>
  <c r="F28" i="10"/>
  <c r="F37" i="10"/>
  <c r="F46" i="10"/>
  <c r="F30" i="10"/>
  <c r="O15" i="10"/>
  <c r="N15" i="10"/>
  <c r="M15" i="10"/>
  <c r="K15" i="10"/>
  <c r="H37" i="10" l="1"/>
  <c r="G37" i="10"/>
  <c r="H27" i="10"/>
  <c r="G27" i="10"/>
  <c r="H33" i="10"/>
  <c r="G33" i="10"/>
  <c r="H49" i="10"/>
  <c r="G49" i="10"/>
  <c r="H41" i="10"/>
  <c r="G41" i="10"/>
  <c r="H51" i="10"/>
  <c r="G51" i="10"/>
  <c r="H34" i="10"/>
  <c r="G34" i="10"/>
  <c r="H50" i="10"/>
  <c r="G50" i="10"/>
  <c r="H40" i="10"/>
  <c r="G40" i="10"/>
  <c r="H32" i="10"/>
  <c r="G32" i="10"/>
  <c r="H43" i="10"/>
  <c r="G43" i="10"/>
  <c r="H39" i="10"/>
  <c r="G39" i="10"/>
  <c r="H36" i="10"/>
  <c r="G36" i="10"/>
  <c r="H28" i="10"/>
  <c r="G28" i="10"/>
  <c r="H35" i="10"/>
  <c r="G35" i="10"/>
  <c r="H26" i="10"/>
  <c r="G26" i="10"/>
  <c r="H48" i="10"/>
  <c r="G48" i="10"/>
  <c r="H47" i="10"/>
  <c r="G47" i="10"/>
  <c r="H38" i="10"/>
  <c r="G38" i="10"/>
  <c r="H30" i="10"/>
  <c r="G30" i="10"/>
  <c r="H29" i="10"/>
  <c r="G29" i="10"/>
  <c r="H44" i="10"/>
  <c r="G44" i="10"/>
  <c r="H42" i="10"/>
  <c r="G42" i="10"/>
  <c r="H31" i="10"/>
  <c r="G31" i="10"/>
  <c r="H46" i="10"/>
  <c r="G46" i="10"/>
  <c r="H45" i="10"/>
  <c r="G45" i="10"/>
</calcChain>
</file>

<file path=xl/sharedStrings.xml><?xml version="1.0" encoding="utf-8"?>
<sst xmlns="http://schemas.openxmlformats.org/spreadsheetml/2006/main" count="569" uniqueCount="360">
  <si>
    <t>Hybrid Zoning + Transition Optimization Engine (v7)</t>
  </si>
  <si>
    <t>Answers not 'what structure for the building' but 'which mass uses which strategy, in what proportions, and how systems connect'</t>
  </si>
  <si>
    <t>■ Target Architecture (v7)</t>
  </si>
  <si>
    <t>Massing → Spatial Decomposition (L0) → Requirement Vector → Structure Allocation → Transition Detection (L5.5) → Transition Optimization → LCA → Circularity (EoL)</t>
  </si>
  <si>
    <t>■ Transition Engine (added in v7)</t>
  </si>
  <si>
    <t>Classify Seamless/Minor/Moderate/Complex/Critical; recommend transition members (transfer beam / belt truss / outrigger / hybrid node); estimate carbon, cost, schedule penalties.</t>
  </si>
  <si>
    <t>■ The nine v6 refactors (recap)</t>
  </si>
  <si>
    <t>3 New requirements: Load, MEP, Lateral, position metrics. 4 Gravity &amp; Lateral split in the genome (Int 5/5, Foam 4/3, Skin 3/4).</t>
  </si>
  <si>
    <t>5 Additive bonuses → multipliers (cap 1.25). 6 Height counted once (vector); &gt;120m is a constraint (Foam ×0.7), not a bonus.</t>
  </si>
  <si>
    <t>7 Circularity de-duplicated → L6 only; Final = 0.7 Fitness + 0.3 Circularity (stage 1). 8 Softmax hybrid %. 9 Per-zone % output.</t>
  </si>
  <si>
    <t>Level 0  Spatial Decomposition (Massing → Zones)</t>
  </si>
  <si>
    <t>Before program zoning, the mass is sliced into attributed zones. Each row in Allocation is one decomposed zone.</t>
  </si>
  <si>
    <t>0A Height Zones</t>
  </si>
  <si>
    <t>0B Core / Perimeter</t>
  </si>
  <si>
    <t>Band</t>
  </si>
  <si>
    <t>Range</t>
  </si>
  <si>
    <t>Example zone</t>
  </si>
  <si>
    <t>Zone</t>
  </si>
  <si>
    <t>Dist. to facade</t>
  </si>
  <si>
    <t>Low Rise</t>
  </si>
  <si>
    <t>0–20 m</t>
  </si>
  <si>
    <t>Office_Low</t>
  </si>
  <si>
    <t>Perimeter</t>
  </si>
  <si>
    <t>&lt; 6 m</t>
  </si>
  <si>
    <t>Mid Rise</t>
  </si>
  <si>
    <t>20–60 m</t>
  </si>
  <si>
    <t>Office_Mid</t>
  </si>
  <si>
    <t>Intermediate</t>
  </si>
  <si>
    <t>6–15 m</t>
  </si>
  <si>
    <t>High Rise</t>
  </si>
  <si>
    <t>60–120 m</t>
  </si>
  <si>
    <t>Office_High</t>
  </si>
  <si>
    <t>Core</t>
  </si>
  <si>
    <t>&gt;15 m</t>
  </si>
  <si>
    <t>Super Tall</t>
  </si>
  <si>
    <t>&gt;120 m</t>
  </si>
  <si>
    <t>Office_Super</t>
  </si>
  <si>
    <t>0D Structural Stress Zones</t>
  </si>
  <si>
    <t>0C Environmental (Ladybug)</t>
  </si>
  <si>
    <t>Level</t>
  </si>
  <si>
    <t>Basis</t>
  </si>
  <si>
    <t>Effect</t>
  </si>
  <si>
    <t>Source</t>
  </si>
  <si>
    <t>High Stress</t>
  </si>
  <si>
    <t>moment/shear/axial/defl. high</t>
  </si>
  <si>
    <t>raises Load &amp; Lateral demand</t>
  </si>
  <si>
    <t>High Exposure</t>
  </si>
  <si>
    <t>solar / wind / daylight</t>
  </si>
  <si>
    <t>Medium</t>
  </si>
  <si>
    <t>mid</t>
  </si>
  <si>
    <t>Low</t>
  </si>
  <si>
    <t>low</t>
  </si>
  <si>
    <t>lowers Load demand</t>
  </si>
  <si>
    <t>0A–0D attributes are written into Allocation (Program/Band/Position/Exposure/Stress) and translated into the requirement vector (L2).</t>
  </si>
  <si>
    <t>Level 1  Program → initial requirements (Program gives requirements, NOT structure)</t>
  </si>
  <si>
    <t>Program no longer maps directly to a structure; it only seeds the requirement vector. Final requirements are tuned per decomposed zone (position/height/stress) in Allocation.</t>
  </si>
  <si>
    <t>Program</t>
  </si>
  <si>
    <t>Span</t>
  </si>
  <si>
    <t>Load</t>
  </si>
  <si>
    <t>MEP</t>
  </si>
  <si>
    <t>Adapt</t>
  </si>
  <si>
    <t>Lateral</t>
  </si>
  <si>
    <t>Modular</t>
  </si>
  <si>
    <t>Residential</t>
  </si>
  <si>
    <t>Office</t>
  </si>
  <si>
    <t>Hotel</t>
  </si>
  <si>
    <t>Retail</t>
  </si>
  <si>
    <t>Parking</t>
  </si>
  <si>
    <t>Library</t>
  </si>
  <si>
    <t>Laboratory</t>
  </si>
  <si>
    <t>Healthcare</t>
  </si>
  <si>
    <t>DataCenter</t>
  </si>
  <si>
    <t>Conference</t>
  </si>
  <si>
    <t>Warehouse</t>
  </si>
  <si>
    <t>↑ Initial assumptions (0–5). Position tuning e.g.: Perimeter→Facade↑; Core→Lateral↑, Facade=0; High Stress→Load/Lateral↑.</t>
  </si>
  <si>
    <t>Level 2  Requirement Vector rubric (0–5)</t>
  </si>
  <si>
    <t>Matching evaluates Fitness/Constructability/Performance only; reuse &amp; carbon moved to L6 to avoid double-counting (refactor #7).</t>
  </si>
  <si>
    <t>max column-free span</t>
  </si>
  <si>
    <t>&lt;8m=1</t>
  </si>
  <si>
    <t>12–18m=4</t>
  </si>
  <si>
    <t>&gt;18m=5</t>
  </si>
  <si>
    <t>Facade Integration</t>
  </si>
  <si>
    <t>position: perim→high, core→0</t>
  </si>
  <si>
    <t>Core=0</t>
  </si>
  <si>
    <t>Inter=1-2</t>
  </si>
  <si>
    <t>Perimeter=4-5</t>
  </si>
  <si>
    <t>Adaptability</t>
  </si>
  <si>
    <t>future change</t>
  </si>
  <si>
    <t>Housing=2</t>
  </si>
  <si>
    <t>Retail=4</t>
  </si>
  <si>
    <t>Office/Park=5</t>
  </si>
  <si>
    <t>Modular / Repetition</t>
  </si>
  <si>
    <t>degree of repetition</t>
  </si>
  <si>
    <t>Museum=1</t>
  </si>
  <si>
    <t>Hotel=4</t>
  </si>
  <si>
    <t>Office/Resid=5</t>
  </si>
  <si>
    <t>Prefab / Schedule</t>
  </si>
  <si>
    <t>prefab + time pressure</t>
  </si>
  <si>
    <t>wet trade=1</t>
  </si>
  <si>
    <t>partial=3</t>
  </si>
  <si>
    <t>full prefab=5</t>
  </si>
  <si>
    <t>Fire</t>
  </si>
  <si>
    <t>fire rating need</t>
  </si>
  <si>
    <t>garage=2</t>
  </si>
  <si>
    <t>office=4</t>
  </si>
  <si>
    <t>residential/assembly=5</t>
  </si>
  <si>
    <t>MEP Intensity (#3)</t>
  </si>
  <si>
    <t>services/equipment density</t>
  </si>
  <si>
    <t>resid/facade=1-2</t>
  </si>
  <si>
    <t>lab/hospital/datacenter=5</t>
  </si>
  <si>
    <t>Load (#3)</t>
  </si>
  <si>
    <t>live+dead+occupancy</t>
  </si>
  <si>
    <t>Residential=2</t>
  </si>
  <si>
    <t>Office=3</t>
  </si>
  <si>
    <t>Park/Lib/Data=5</t>
  </si>
  <si>
    <t>Lateral (#3)</t>
  </si>
  <si>
    <t>height+wind+seismic</t>
  </si>
  <si>
    <t>low-rise=2</t>
  </si>
  <si>
    <t>mid/high=4</t>
  </si>
  <si>
    <t>super tall/core=5</t>
  </si>
  <si>
    <t>Cost Sensitivity</t>
  </si>
  <si>
    <t>budget constraint</t>
  </si>
  <si>
    <t>flexible=2</t>
  </si>
  <si>
    <t>normal=3</t>
  </si>
  <si>
    <t>tight=5</t>
  </si>
  <si>
    <t>Position metrics (#3): Facade Proximity / Core Proximity / Corner / Height Position → fed by L0 into the Facade/Lateral/Load demands above.</t>
  </si>
  <si>
    <t>Level 3  Structure Genome — Fitness caps (0–5); Gravity &amp; Lateral split (#4)</t>
  </si>
  <si>
    <t>Holds Fitness/Constructability/Performance capacities only (carbon &amp; reuse moved to L6). Gravity and Lateral capacities are evaluated separately (#4).</t>
  </si>
  <si>
    <t>Structure</t>
  </si>
  <si>
    <t>Facade</t>
  </si>
  <si>
    <t>Prefab</t>
  </si>
  <si>
    <t>Gravity</t>
  </si>
  <si>
    <t>Cost-E</t>
  </si>
  <si>
    <t>Typical systems</t>
  </si>
  <si>
    <t>Calibration basis (Sources)</t>
  </si>
  <si>
    <t>Structural Skin</t>
  </si>
  <si>
    <t>Diagrid / Exoskeleton / Timber Shell</t>
  </si>
  <si>
    <t>Gravity 3: perimeter system, interior spans rely on floor; Lateral 4: diagrid high stiffness (super-tall cases); Facade 5; Prefab 5; MEP 3: perimeter doesn't block interior services.</t>
  </si>
  <si>
    <t>Structural Foam</t>
  </si>
  <si>
    <t>CLT Cellular / Voronoi / Space Frame</t>
  </si>
  <si>
    <t>Gravity 4; Lateral 3: light but not a primary lateral system, limited super-tall (constraint multiplier); Modular 5 / Prefab 5; MEP 2: solid timber beams hard to penetrate.</t>
  </si>
  <si>
    <t>Internal Structure</t>
  </si>
  <si>
    <t>Steel / Concrete Frame / Core+Frame</t>
  </si>
  <si>
    <t>Gravity 5 / Lateral 5: core+frame is the super-tall standard; long span 5; Fire 5; MEP 5: cellular beams let services pass through to protect clear height.</t>
  </si>
  <si>
    <t>Level 6  Circularity / Post-End-of-Life (0.3 of final score, #7)</t>
  </si>
  <si>
    <t>Weights (sum=1)</t>
  </si>
  <si>
    <t>Reuse Potential</t>
  </si>
  <si>
    <t>Disassembly</t>
  </si>
  <si>
    <t>Material Recovery</t>
  </si>
  <si>
    <t>Carbon Storage</t>
  </si>
  <si>
    <t>Weights →</t>
  </si>
  <si>
    <t>Structure base scores (0–100, editable)</t>
  </si>
  <si>
    <t>Bolted dry joints demountable; steel direct reuse ~7%; timber shell stores carbon → 60</t>
  </si>
  <si>
    <t>Modular bolted, easy to disassemble; CLT stores biogenic carbon → 85</t>
  </si>
  <si>
    <t>Cast-in-place not demountable; steel recycled but direct reuse ~7%; no biogenic carbon → 5</t>
  </si>
  <si>
    <t>Composite (=Σ metric×weight)</t>
  </si>
  <si>
    <t>Level 4  Multipliers (replace additive bonuses, cap 1.25, #5/#6)</t>
  </si>
  <si>
    <t>Condition</t>
  </si>
  <si>
    <t>Multiplier</t>
  </si>
  <si>
    <t>Rationale</t>
  </si>
  <si>
    <t>Span(m) &gt; 18</t>
  </si>
  <si>
    <t>Internal ×1.15</t>
  </si>
  <si>
    <t>large span favors steel/RC frame</t>
  </si>
  <si>
    <t>Facade demand &gt; 4</t>
  </si>
  <si>
    <t>Skin ×1.15</t>
  </si>
  <si>
    <t>high facade integration → skin</t>
  </si>
  <si>
    <t>Lateral demand = 5</t>
  </si>
  <si>
    <t>Internal ×1.10 / Skin ×1.05 / Foam ×0.85</t>
  </si>
  <si>
    <t>lateral: core or diagrid good, Foam weak</t>
  </si>
  <si>
    <t>MEP demand = 5</t>
  </si>
  <si>
    <t>Internal ×1.10 / Foam ×0.90</t>
  </si>
  <si>
    <t>cellular beams pass services; solid beams eat clear height</t>
  </si>
  <si>
    <t>Load demand = 5</t>
  </si>
  <si>
    <t>Internal ×1.10</t>
  </si>
  <si>
    <t>heavy loads favor frames</t>
  </si>
  <si>
    <t>Height(m) &gt; 120 (constraint #6)</t>
  </si>
  <si>
    <t>Foam ×0.70 / Skin ×1.05</t>
  </si>
  <si>
    <t>timber not a super-tall primary; diagrid good</t>
  </si>
  <si>
    <t>Cap</t>
  </si>
  <si>
    <t>each system multiplier clamped 0.6–1.25</t>
  </si>
  <si>
    <t>prevents any single factor dominating base score</t>
  </si>
  <si>
    <t>Height counted once (#6): height enters the Lateral demand (vector); &gt;120m is only a constraint multiplier, not a bonus.</t>
  </si>
  <si>
    <t>Hybrid Allocation Engine ★ each decomposed zone → Skin/Foam/Internal percentages</t>
  </si>
  <si>
    <t>Softmax T</t>
  </si>
  <si>
    <t>Fit wt</t>
  </si>
  <si>
    <t>Circ wt</t>
  </si>
  <si>
    <t>Circ→</t>
  </si>
  <si>
    <t>Zone (spatial decomposition)</t>
  </si>
  <si>
    <t>Requirement vector (0–5)</t>
  </si>
  <si>
    <t>Geometry</t>
  </si>
  <si>
    <t>Fitness %</t>
  </si>
  <si>
    <t>Final</t>
  </si>
  <si>
    <t>Allocation %</t>
  </si>
  <si>
    <t>Lead</t>
  </si>
  <si>
    <t>ID</t>
  </si>
  <si>
    <t>Prog</t>
  </si>
  <si>
    <t>Pos</t>
  </si>
  <si>
    <t>Expo</t>
  </si>
  <si>
    <t>Stress</t>
  </si>
  <si>
    <t>Faç</t>
  </si>
  <si>
    <t>Adpt</t>
  </si>
  <si>
    <t>Mod</t>
  </si>
  <si>
    <t>Pref</t>
  </si>
  <si>
    <t>Lat</t>
  </si>
  <si>
    <t>Cost</t>
  </si>
  <si>
    <t>H(m)</t>
  </si>
  <si>
    <t>Sp(m)</t>
  </si>
  <si>
    <t>Skin</t>
  </si>
  <si>
    <t>Foam</t>
  </si>
  <si>
    <t>Intl</t>
  </si>
  <si>
    <t>Skin%</t>
  </si>
  <si>
    <t>Foam%</t>
  </si>
  <si>
    <t>Intl%</t>
  </si>
  <si>
    <t>Primary</t>
  </si>
  <si>
    <t>Top%</t>
  </si>
  <si>
    <t>Retail Lo Perim</t>
  </si>
  <si>
    <t>Perim</t>
  </si>
  <si>
    <t>High</t>
  </si>
  <si>
    <t>Med</t>
  </si>
  <si>
    <t>Retail Lo Core</t>
  </si>
  <si>
    <t>Lobby Lo</t>
  </si>
  <si>
    <t>Lobby</t>
  </si>
  <si>
    <t>Parking Lo</t>
  </si>
  <si>
    <t>Conference Lo</t>
  </si>
  <si>
    <t>DataCenter Lo</t>
  </si>
  <si>
    <t>Office Mid S-Perim</t>
  </si>
  <si>
    <t>Mid</t>
  </si>
  <si>
    <t>Office Mid Core</t>
  </si>
  <si>
    <t>Office Mid N-Perim</t>
  </si>
  <si>
    <t>Hotel Mid Perim</t>
  </si>
  <si>
    <t>Lab Mid</t>
  </si>
  <si>
    <t>Inter</t>
  </si>
  <si>
    <t>Office Hi S-Perim</t>
  </si>
  <si>
    <t>Office Hi Core</t>
  </si>
  <si>
    <t>Resid Hi Perim</t>
  </si>
  <si>
    <t>Resid Hi Core</t>
  </si>
  <si>
    <t>SkyLobby Hi</t>
  </si>
  <si>
    <t>SkyLobby</t>
  </si>
  <si>
    <t>Office Super Core</t>
  </si>
  <si>
    <t>Super</t>
  </si>
  <si>
    <t>Office Super S-Perim</t>
  </si>
  <si>
    <t>Core Spine Full</t>
  </si>
  <si>
    <t>All</t>
  </si>
  <si>
    <t>South Facade Hi</t>
  </si>
  <si>
    <t>West Facade Mid</t>
  </si>
  <si>
    <t>Atrium Full</t>
  </si>
  <si>
    <t>Atrium</t>
  </si>
  <si>
    <t>MEP Floor Hi</t>
  </si>
  <si>
    <t>Mechanical</t>
  </si>
  <si>
    <t>Roof Canopy Hi</t>
  </si>
  <si>
    <t>Roof</t>
  </si>
  <si>
    <t>Warehouse Lo</t>
  </si>
  <si>
    <t>Healthcare Mid</t>
  </si>
  <si>
    <t>Stage 1: Final = 0.7×(Fitness%×Multiplier) + 0.3×Circularity → Softmax(/T) → %. Stage 2 on 'Transition_Engine': add adjacency penalty, Final = 0.5×Fitness + 0.3×Circularity − 0.2×Transition. Multiplier cap 1.25; &gt;120m is a Foam constraint (×0.7).</t>
  </si>
  <si>
    <t>Whole-building Weighted Summary (by hybrid %)</t>
  </si>
  <si>
    <t>Enter each zone area; structure share = Σ(area×system%); carbon/circularity blended by each zone's three system %.</t>
  </si>
  <si>
    <t>Carbon intensity kgCO₂e/m²</t>
  </si>
  <si>
    <t>Building KPI</t>
  </si>
  <si>
    <t>Total area m²</t>
  </si>
  <si>
    <t>Skin share</t>
  </si>
  <si>
    <t>Internal</t>
  </si>
  <si>
    <t>Foam share</t>
  </si>
  <si>
    <t>Internal share</t>
  </si>
  <si>
    <t>Weighted circularity</t>
  </si>
  <si>
    <t>Area m²</t>
  </si>
  <si>
    <t>Circ(blend)</t>
  </si>
  <si>
    <t>Carbon(blend)</t>
  </si>
  <si>
    <t>Carbon kg/m²</t>
  </si>
  <si>
    <t>Total carbon (t)</t>
  </si>
  <si>
    <t>L5.5 Structure Transition Zone Engine</t>
  </si>
  <si>
    <t>Detect adjacent zones → four difference scores (Structure 0.4 / Geometry 0.2 / Material 0.2 / LoadPath 0.2) → TCS 0–100 → class → recommended transition member → carbon/cost/schedule penalty.</t>
  </si>
  <si>
    <t>TCS weights:</t>
  </si>
  <si>
    <t>Struct</t>
  </si>
  <si>
    <t>Geom</t>
  </si>
  <si>
    <t>Mat</t>
  </si>
  <si>
    <t>LoadPath</t>
  </si>
  <si>
    <t>Σ</t>
  </si>
  <si>
    <t>Penalty intensity (at TCS=100):</t>
  </si>
  <si>
    <t>Cost %</t>
  </si>
  <si>
    <t>Schedule wk</t>
  </si>
  <si>
    <t>① Structure diff</t>
  </si>
  <si>
    <t>② Geometry diff</t>
  </si>
  <si>
    <t>③ Material diff</t>
  </si>
  <si>
    <t>④ Load-path diff</t>
  </si>
  <si>
    <t>A\B</t>
  </si>
  <si>
    <t>A zone (upper)</t>
  </si>
  <si>
    <t>B zone (lower)</t>
  </si>
  <si>
    <t>Prim A</t>
  </si>
  <si>
    <t>Prim B</t>
  </si>
  <si>
    <t>Str</t>
  </si>
  <si>
    <t>Geo</t>
  </si>
  <si>
    <t>TCS</t>
  </si>
  <si>
    <t>Class</t>
  </si>
  <si>
    <t>Recommended transition member</t>
  </si>
  <si>
    <t>Carb+</t>
  </si>
  <si>
    <t>Cost+%</t>
  </si>
  <si>
    <t>Sched+wk</t>
  </si>
  <si>
    <t>Step 9  Penalty fed back to optimization:  Final = 0.5×Fitness + 0.3×Circularity − 0.2×TransitionPenalty</t>
  </si>
  <si>
    <t>Fitness×Mult</t>
  </si>
  <si>
    <t>Circ</t>
  </si>
  <si>
    <t>Transition penalty (max TCS)</t>
  </si>
  <si>
    <t>Adjusted final</t>
  </si>
  <si>
    <t>Verdict</t>
  </si>
  <si>
    <t>Global Lateral vs Local Gravity</t>
  </si>
  <si>
    <t>A building has one primary lateral system. Decide the global lateral system first (RC core or perimeter diagrid); floor/gravity is then left to each zone's local allocation.</t>
  </si>
  <si>
    <t>Building height (m)</t>
  </si>
  <si>
    <t>Facade primary = Skin?</t>
  </si>
  <si>
    <t>▶ Recommended global lateral system</t>
  </si>
  <si>
    <t>Each zone: Global lateral vs Local gravity</t>
  </si>
  <si>
    <t>Primary allocation</t>
  </si>
  <si>
    <t>Role</t>
  </si>
  <si>
    <t>Note</t>
  </si>
  <si>
    <t>Engineering Data Sources</t>
  </si>
  <si>
    <t>#</t>
  </si>
  <si>
    <t>Topic</t>
  </si>
  <si>
    <t>Key finding</t>
  </si>
  <si>
    <t>S1</t>
  </si>
  <si>
    <t>Embodied carbon</t>
  </si>
  <si>
    <t>Timber 119 / RC 185 / Steel 228 kgCO₂e/m² (median)</t>
  </si>
  <si>
    <t>Hart et al. 2021</t>
  </si>
  <si>
    <t>S3</t>
  </si>
  <si>
    <t>Steel circularity</t>
  </si>
  <si>
    <t>Recovery &gt;95% but direct reuse ~7%</t>
  </si>
  <si>
    <t>SteelConstruction.info; BCSA</t>
  </si>
  <si>
    <t>S5</t>
  </si>
  <si>
    <t>Diagrid</t>
  </si>
  <si>
    <t>~15–20% steel saving, high lateral stiffness, super-tall cases</t>
  </si>
  <si>
    <t>Moon 2007; Structures Centre</t>
  </si>
  <si>
    <t>S7</t>
  </si>
  <si>
    <t>Mass-timber fire</t>
  </si>
  <si>
    <t>CLT charring 2–3 hr; IBC 2021 up to 18 storeys</t>
  </si>
  <si>
    <t>US FPL; ThinkWood</t>
  </si>
  <si>
    <t>S8</t>
  </si>
  <si>
    <t>Mass-timber seismic</t>
  </si>
  <si>
    <t>10-storey shake table, no collapse (light + rocking walls)</t>
  </si>
  <si>
    <t>NHERI TallWood</t>
  </si>
  <si>
    <t>S9</t>
  </si>
  <si>
    <t>Mass-timber height</t>
  </si>
  <si>
    <t>Tallest ~86 m, mostly hybrid RC core (hence &gt;120m constraint)</t>
  </si>
  <si>
    <t>Skyscraper.org</t>
  </si>
  <si>
    <t>S11</t>
  </si>
  <si>
    <t>Transfer structures</t>
  </si>
  <si>
    <t>Avoiding transfers can cut whole-building structural carbon by up to 15%; transfer beams 5,000–20,000 kN, failure is a collapse initiator</t>
  </si>
  <si>
    <t>Glotman Simpson 2025; steelcalculator</t>
  </si>
  <si>
    <t>S12</t>
  </si>
  <si>
    <t>Hybrid podium</t>
  </si>
  <si>
    <t>Timber/steel over RC podium is an accepted strategy, needs tradeoff study</t>
  </si>
  <si>
    <t>SE2050 / AISC DG37</t>
  </si>
  <si>
    <t>S13</t>
  </si>
  <si>
    <t>MEP / clear height</t>
  </si>
  <si>
    <t>Cellular beams let services pass through to protect clear height; solid beams force services below</t>
  </si>
  <si>
    <t>SteelConstruction.info</t>
  </si>
  <si>
    <t>S14</t>
  </si>
  <si>
    <t>Gravity/Lateral split</t>
  </si>
  <si>
    <t>Gravity and lateral systems follow different logic; best evaluated separately</t>
  </si>
  <si>
    <t>structural design practice (#4)</t>
  </si>
  <si>
    <t>how different systems connect, what transition members are needed, and whether the hybrid is worth its transition cost</t>
    <phoneticPr fontId="42" type="noConversion"/>
  </si>
  <si>
    <t>L5.5 Transition: detect adjacent zones; score Structure / Geometry / Material / Load-path differences → Transition Complexity (0–100).</t>
    <phoneticPr fontId="42" type="noConversion"/>
  </si>
  <si>
    <t>FinalScore = 0.5×Fitness + 0.3×Circularity − 0.2×TransitionPenalty</t>
    <phoneticPr fontId="42" type="noConversion"/>
  </si>
  <si>
    <t>1 L0 spatial decomposition (height / core-perimeter / exposure / stress). 2 Program gives requirements</t>
    <phoneticPr fontId="4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</si>
</sst>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%"/>
    <numFmt numFmtId="178" formatCode="#,##0.0"/>
  </numFmts>
  <fonts count="46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0"/>
      <color rgb="FFFFFFFF"/>
      <name val="Arial"/>
      <charset val="1"/>
    </font>
    <font>
      <b/>
      <sz val="11"/>
      <color rgb="FF1F2A3C"/>
      <name val="Arial"/>
      <charset val="1"/>
    </font>
    <font>
      <sz val="9.5"/>
      <color rgb="FF000000"/>
      <name val="Arial"/>
      <charset val="1"/>
    </font>
    <font>
      <b/>
      <sz val="13"/>
      <color rgb="FFFFFFFF"/>
      <name val="Arial"/>
      <family val="2"/>
    </font>
    <font>
      <sz val="9"/>
      <color rgb="FF555555"/>
      <name val="Arial"/>
      <family val="2"/>
    </font>
    <font>
      <b/>
      <sz val="11"/>
      <color rgb="FF138D75"/>
      <name val="Arial"/>
      <family val="2"/>
    </font>
    <font>
      <b/>
      <sz val="9.5"/>
      <color rgb="FFFFFFFF"/>
      <name val="Arial"/>
      <family val="2"/>
    </font>
    <font>
      <sz val="9"/>
      <color rgb="FF000000"/>
      <name val="Arial"/>
      <family val="2"/>
    </font>
    <font>
      <i/>
      <sz val="8.5"/>
      <color rgb="FF666666"/>
      <name val="Arial"/>
      <family val="2"/>
    </font>
    <font>
      <b/>
      <sz val="10"/>
      <color rgb="FF1F2A3C"/>
      <name val="Arial"/>
      <family val="2"/>
    </font>
    <font>
      <i/>
      <sz val="9"/>
      <color rgb="FF666666"/>
      <name val="Arial"/>
      <family val="2"/>
    </font>
    <font>
      <b/>
      <sz val="8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0000FF"/>
      <name val="Arial"/>
      <family val="2"/>
    </font>
    <font>
      <sz val="8.5"/>
      <color rgb="FF000000"/>
      <name val="Arial"/>
      <family val="2"/>
    </font>
    <font>
      <sz val="8"/>
      <color rgb="FF000000"/>
      <name val="Arial"/>
      <family val="2"/>
    </font>
    <font>
      <b/>
      <sz val="8.5"/>
      <color rgb="FFFFFFFF"/>
      <name val="Arial"/>
      <family val="2"/>
    </font>
    <font>
      <i/>
      <sz val="9"/>
      <color rgb="FF000000"/>
      <name val="Arial"/>
      <family val="2"/>
    </font>
    <font>
      <b/>
      <sz val="9"/>
      <color rgb="FF0000FF"/>
      <name val="Arial"/>
      <family val="2"/>
    </font>
    <font>
      <sz val="7.5"/>
      <color rgb="FF000000"/>
      <name val="Arial"/>
      <family val="2"/>
    </font>
    <font>
      <sz val="9"/>
      <color rgb="FF008000"/>
      <name val="Arial"/>
      <family val="2"/>
    </font>
    <font>
      <b/>
      <sz val="9"/>
      <color rgb="FF000000"/>
      <name val="Arial"/>
      <family val="2"/>
    </font>
    <font>
      <i/>
      <sz val="9"/>
      <color rgb="FF555555"/>
      <name val="Arial"/>
      <family val="2"/>
    </font>
    <font>
      <b/>
      <sz val="14"/>
      <color rgb="FFFFFFFF"/>
      <name val="Arial"/>
      <family val="2"/>
    </font>
    <font>
      <i/>
      <sz val="8"/>
      <color rgb="FF000000"/>
      <name val="Arial"/>
      <family val="2"/>
    </font>
    <font>
      <sz val="8"/>
      <color rgb="FF008000"/>
      <name val="Arial"/>
      <family val="2"/>
    </font>
    <font>
      <b/>
      <sz val="7.5"/>
      <color rgb="FFFFFFFF"/>
      <name val="Arial"/>
      <family val="2"/>
    </font>
    <font>
      <b/>
      <sz val="8"/>
      <color rgb="FF000000"/>
      <name val="Arial"/>
      <family val="2"/>
    </font>
    <font>
      <sz val="8"/>
      <color rgb="FF0000FF"/>
      <name val="Arial"/>
      <family val="2"/>
    </font>
    <font>
      <b/>
      <sz val="8"/>
      <color rgb="FF0000FF"/>
      <name val="Arial"/>
      <family val="2"/>
    </font>
    <font>
      <b/>
      <sz val="8"/>
      <color rgb="FFC0742C"/>
      <name val="Arial"/>
      <family val="2"/>
    </font>
    <font>
      <b/>
      <sz val="8"/>
      <color rgb="FF1E8449"/>
      <name val="Arial"/>
      <family val="2"/>
    </font>
    <font>
      <b/>
      <sz val="8"/>
      <color rgb="FF2471A3"/>
      <name val="Arial"/>
      <family val="2"/>
    </font>
    <font>
      <i/>
      <sz val="8"/>
      <color rgb="FF555555"/>
      <name val="Arial"/>
      <family val="2"/>
    </font>
    <font>
      <b/>
      <sz val="9"/>
      <color rgb="FF1F2A3C"/>
      <name val="Arial"/>
      <family val="2"/>
    </font>
    <font>
      <b/>
      <sz val="8.5"/>
      <color rgb="FF0000FF"/>
      <name val="Arial"/>
      <family val="2"/>
    </font>
    <font>
      <b/>
      <sz val="9"/>
      <color rgb="FF138D75"/>
      <name val="Arial"/>
      <family val="2"/>
    </font>
    <font>
      <b/>
      <sz val="8"/>
      <color rgb="FF008000"/>
      <name val="Arial"/>
      <family val="2"/>
    </font>
    <font>
      <b/>
      <sz val="8.5"/>
      <color rgb="FF000000"/>
      <name val="Arial"/>
      <family val="2"/>
    </font>
    <font>
      <sz val="9.5"/>
      <color rgb="FF000000"/>
      <name val="Arial"/>
      <family val="2"/>
    </font>
    <font>
      <sz val="9"/>
      <name val="細明體"/>
      <family val="3"/>
      <charset val="136"/>
    </font>
    <font>
      <strike/>
      <sz val="9.5"/>
      <color rgb="FF000000"/>
      <name val="Arial"/>
      <family val="2"/>
    </font>
    <font>
      <b/>
      <sz val="9.5"/>
      <color rgb="FFFF0000"/>
      <name val="Arial"/>
      <family val="2"/>
    </font>
    <font>
      <sz val="9.5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2A3C"/>
        <bgColor rgb="FF2E4159"/>
      </patternFill>
    </fill>
    <fill>
      <patternFill patternType="solid">
        <fgColor rgb="FF138D75"/>
        <bgColor rgb="FF008080"/>
      </patternFill>
    </fill>
    <fill>
      <patternFill patternType="solid">
        <fgColor rgb="FFEAF0F4"/>
        <bgColor rgb="FFFCE8D5"/>
      </patternFill>
    </fill>
    <fill>
      <patternFill patternType="solid">
        <fgColor rgb="FF2E4159"/>
        <bgColor rgb="FF1F2A3C"/>
      </patternFill>
    </fill>
    <fill>
      <patternFill patternType="solid">
        <fgColor rgb="FFC0742C"/>
        <bgColor rgb="FF808000"/>
      </patternFill>
    </fill>
    <fill>
      <patternFill patternType="solid">
        <fgColor rgb="FFFFF7CC"/>
        <bgColor rgb="FFFCE8D5"/>
      </patternFill>
    </fill>
    <fill>
      <patternFill patternType="solid">
        <fgColor rgb="FF1E8449"/>
        <bgColor rgb="FF138D75"/>
      </patternFill>
    </fill>
    <fill>
      <patternFill patternType="solid">
        <fgColor rgb="FF2471A3"/>
        <bgColor rgb="FF008080"/>
      </patternFill>
    </fill>
  </fills>
  <borders count="3">
    <border>
      <left/>
      <right/>
      <top/>
      <bottom/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  <border>
      <left style="thin">
        <color rgb="FFB8C4CE"/>
      </left>
      <right/>
      <top style="thin">
        <color rgb="FFB8C4CE"/>
      </top>
      <bottom style="thin">
        <color rgb="FFB8C4CE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3" fillId="4" borderId="2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/>
    </xf>
    <xf numFmtId="0" fontId="10" fillId="0" borderId="0" xfId="0" applyFont="1"/>
    <xf numFmtId="0" fontId="6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1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2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11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19" fillId="0" borderId="0" xfId="0" applyFont="1"/>
    <xf numFmtId="9" fontId="15" fillId="7" borderId="1" xfId="0" applyNumberFormat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14" fillId="8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left" vertical="center"/>
    </xf>
    <xf numFmtId="0" fontId="22" fillId="0" borderId="1" xfId="0" applyFont="1" applyBorder="1"/>
    <xf numFmtId="176" fontId="23" fillId="0" borderId="1" xfId="0" applyNumberFormat="1" applyFont="1" applyBorder="1"/>
    <xf numFmtId="0" fontId="9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4" fillId="0" borderId="0" xfId="0" applyFont="1"/>
    <xf numFmtId="0" fontId="23" fillId="0" borderId="0" xfId="0" applyFont="1"/>
    <xf numFmtId="176" fontId="15" fillId="7" borderId="1" xfId="0" applyNumberFormat="1" applyFont="1" applyFill="1" applyBorder="1" applyAlignment="1">
      <alignment horizontal="center" vertical="center" wrapText="1"/>
    </xf>
    <xf numFmtId="176" fontId="22" fillId="0" borderId="1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1" fontId="27" fillId="0" borderId="0" xfId="0" applyNumberFormat="1" applyFont="1"/>
    <xf numFmtId="0" fontId="28" fillId="5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176" fontId="27" fillId="0" borderId="1" xfId="0" applyNumberFormat="1" applyFont="1" applyBorder="1" applyAlignment="1">
      <alignment horizontal="center" vertical="center" wrapText="1"/>
    </xf>
    <xf numFmtId="176" fontId="17" fillId="0" borderId="1" xfId="0" applyNumberFormat="1" applyFont="1" applyBorder="1" applyAlignment="1">
      <alignment horizontal="center" vertical="center" wrapText="1"/>
    </xf>
    <xf numFmtId="176" fontId="32" fillId="0" borderId="1" xfId="0" applyNumberFormat="1" applyFont="1" applyBorder="1" applyAlignment="1">
      <alignment horizontal="center" vertical="center" wrapText="1"/>
    </xf>
    <xf numFmtId="176" fontId="33" fillId="0" borderId="1" xfId="0" applyNumberFormat="1" applyFont="1" applyBorder="1" applyAlignment="1">
      <alignment horizontal="center" vertical="center" wrapText="1"/>
    </xf>
    <xf numFmtId="176" fontId="34" fillId="0" borderId="1" xfId="0" applyNumberFormat="1" applyFont="1" applyBorder="1" applyAlignment="1">
      <alignment horizontal="center" vertical="center" wrapText="1"/>
    </xf>
    <xf numFmtId="9" fontId="32" fillId="0" borderId="1" xfId="0" applyNumberFormat="1" applyFont="1" applyBorder="1" applyAlignment="1">
      <alignment horizontal="center" vertical="center" wrapText="1"/>
    </xf>
    <xf numFmtId="9" fontId="33" fillId="0" borderId="1" xfId="0" applyNumberFormat="1" applyFont="1" applyBorder="1" applyAlignment="1">
      <alignment horizontal="center" vertical="center" wrapText="1"/>
    </xf>
    <xf numFmtId="9" fontId="34" fillId="0" borderId="1" xfId="0" applyNumberFormat="1" applyFont="1" applyBorder="1" applyAlignment="1">
      <alignment horizontal="center" vertical="center" wrapText="1"/>
    </xf>
    <xf numFmtId="9" fontId="17" fillId="0" borderId="1" xfId="0" applyNumberFormat="1" applyFont="1" applyBorder="1" applyAlignment="1">
      <alignment horizontal="center" vertical="center" wrapText="1"/>
    </xf>
    <xf numFmtId="0" fontId="36" fillId="0" borderId="0" xfId="0" applyFont="1"/>
    <xf numFmtId="0" fontId="7" fillId="0" borderId="0" xfId="0" applyFont="1"/>
    <xf numFmtId="0" fontId="18" fillId="6" borderId="1" xfId="0" applyFont="1" applyFill="1" applyBorder="1"/>
    <xf numFmtId="0" fontId="37" fillId="7" borderId="1" xfId="0" applyFont="1" applyFill="1" applyBorder="1" applyAlignment="1">
      <alignment horizontal="center" vertical="center" wrapText="1"/>
    </xf>
    <xf numFmtId="0" fontId="23" fillId="4" borderId="1" xfId="0" applyFont="1" applyFill="1" applyBorder="1"/>
    <xf numFmtId="3" fontId="23" fillId="0" borderId="1" xfId="0" applyNumberFormat="1" applyFont="1" applyBorder="1" applyAlignment="1">
      <alignment horizontal="center" vertical="center" wrapText="1"/>
    </xf>
    <xf numFmtId="0" fontId="18" fillId="8" borderId="1" xfId="0" applyFont="1" applyFill="1" applyBorder="1"/>
    <xf numFmtId="177" fontId="23" fillId="0" borderId="1" xfId="0" applyNumberFormat="1" applyFont="1" applyBorder="1" applyAlignment="1">
      <alignment horizontal="center" vertical="center" wrapText="1"/>
    </xf>
    <xf numFmtId="0" fontId="18" fillId="9" borderId="1" xfId="0" applyFont="1" applyFill="1" applyBorder="1"/>
    <xf numFmtId="176" fontId="23" fillId="0" borderId="1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3" fontId="31" fillId="7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27" fillId="0" borderId="1" xfId="0" applyNumberFormat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center" vertical="center" wrapText="1"/>
    </xf>
    <xf numFmtId="178" fontId="23" fillId="0" borderId="1" xfId="0" applyNumberFormat="1" applyFont="1" applyBorder="1" applyAlignment="1">
      <alignment horizontal="center" vertical="center" wrapText="1"/>
    </xf>
    <xf numFmtId="0" fontId="26" fillId="0" borderId="0" xfId="0" applyFont="1"/>
    <xf numFmtId="176" fontId="9" fillId="0" borderId="0" xfId="0" applyNumberFormat="1" applyFont="1"/>
    <xf numFmtId="1" fontId="20" fillId="7" borderId="1" xfId="0" applyNumberFormat="1" applyFont="1" applyFill="1" applyBorder="1" applyAlignment="1">
      <alignment horizontal="center" vertical="center" wrapText="1"/>
    </xf>
    <xf numFmtId="0" fontId="38" fillId="0" borderId="0" xfId="0" applyFont="1"/>
    <xf numFmtId="0" fontId="30" fillId="0" borderId="1" xfId="0" applyFont="1" applyBorder="1" applyAlignment="1">
      <alignment horizontal="left" vertical="center" wrapText="1"/>
    </xf>
    <xf numFmtId="1" fontId="29" fillId="0" borderId="1" xfId="0" applyNumberFormat="1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176" fontId="29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left" vertical="center" wrapText="1"/>
    </xf>
    <xf numFmtId="0" fontId="40" fillId="4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41" fillId="0" borderId="0" xfId="0" applyFont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0" fontId="44" fillId="0" borderId="0" xfId="0" applyFont="1" applyAlignment="1">
      <alignment horizontal="left" vertical="center" wrapText="1"/>
    </xf>
    <xf numFmtId="0" fontId="45" fillId="0" borderId="0" xfId="0" applyFont="1" applyAlignment="1">
      <alignment horizontal="left" vertical="center" wrapText="1"/>
    </xf>
  </cellXfs>
  <cellStyles count="1">
    <cellStyle name="一般" xfId="0" builtinId="0"/>
  </cellStyles>
  <dxfs count="2">
    <dxf>
      <font>
        <b/>
        <sz val="8"/>
        <color rgb="FF922B21"/>
        <name val="Arial"/>
        <charset val="1"/>
      </font>
      <fill>
        <patternFill>
          <bgColor rgb="FFFCE8D5"/>
        </patternFill>
      </fill>
    </dxf>
    <dxf>
      <fill>
        <patternFill>
          <bgColor rgb="FFFCE8D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38D75"/>
      <rgbColor rgb="FFB8C4CE"/>
      <rgbColor rgb="FF808080"/>
      <rgbColor rgb="FF9999FF"/>
      <rgbColor rgb="FF993366"/>
      <rgbColor rgb="FFFFF7CC"/>
      <rgbColor rgb="FFEAF0F4"/>
      <rgbColor rgb="FF660066"/>
      <rgbColor rgb="FFFF8080"/>
      <rgbColor rgb="FF2471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8D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0742C"/>
      <rgbColor rgb="FF666666"/>
      <rgbColor rgb="FF969696"/>
      <rgbColor rgb="FF003366"/>
      <rgbColor rgb="FF1E8449"/>
      <rgbColor rgb="FF003300"/>
      <rgbColor rgb="FF555555"/>
      <rgbColor rgb="FF922B21"/>
      <rgbColor rgb="FF993366"/>
      <rgbColor rgb="FF2E4159"/>
      <rgbColor rgb="FF1F2A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8"/>
  <sheetViews>
    <sheetView showGridLines="0" zoomScaleNormal="100" workbookViewId="0">
      <selection activeCell="I25" sqref="I25"/>
    </sheetView>
  </sheetViews>
  <sheetFormatPr defaultColWidth="8.69140625" defaultRowHeight="14.6" x14ac:dyDescent="0.4"/>
  <cols>
    <col min="1" max="1" width="3" customWidth="1"/>
    <col min="2" max="2" width="20" customWidth="1"/>
    <col min="3" max="6" width="16" customWidth="1"/>
    <col min="7" max="7" width="20" customWidth="1"/>
  </cols>
  <sheetData>
    <row r="2" spans="2:7" ht="30" customHeight="1" x14ac:dyDescent="0.4">
      <c r="B2" s="13" t="s">
        <v>0</v>
      </c>
      <c r="C2" s="13"/>
      <c r="D2" s="13"/>
      <c r="E2" s="13"/>
      <c r="F2" s="13"/>
      <c r="G2" s="13"/>
    </row>
    <row r="3" spans="2:7" ht="19.5" customHeight="1" x14ac:dyDescent="0.4">
      <c r="B3" s="12" t="s">
        <v>1</v>
      </c>
      <c r="C3" s="12"/>
      <c r="D3" s="12"/>
      <c r="E3" s="12"/>
      <c r="F3" s="12"/>
      <c r="G3" s="12"/>
    </row>
    <row r="5" spans="2:7" ht="19.5" customHeight="1" x14ac:dyDescent="0.4">
      <c r="B5" s="11" t="s">
        <v>2</v>
      </c>
      <c r="C5" s="11"/>
      <c r="D5" s="11"/>
      <c r="E5" s="11"/>
      <c r="F5" s="11"/>
      <c r="G5" s="11"/>
    </row>
    <row r="6" spans="2:7" ht="27.75" customHeight="1" x14ac:dyDescent="0.4">
      <c r="B6" s="10" t="s">
        <v>3</v>
      </c>
      <c r="C6" s="10"/>
      <c r="D6" s="10"/>
      <c r="E6" s="10"/>
      <c r="F6" s="10"/>
      <c r="G6" s="10"/>
    </row>
    <row r="7" spans="2:7" ht="27.75" customHeight="1" x14ac:dyDescent="0.4">
      <c r="B7" s="97" t="s">
        <v>356</v>
      </c>
      <c r="C7" s="10"/>
      <c r="D7" s="10"/>
      <c r="E7" s="10"/>
      <c r="F7" s="10"/>
      <c r="G7" s="10"/>
    </row>
    <row r="9" spans="2:7" ht="19.5" customHeight="1" x14ac:dyDescent="0.4">
      <c r="B9" s="11" t="s">
        <v>4</v>
      </c>
      <c r="C9" s="11"/>
      <c r="D9" s="11"/>
      <c r="E9" s="11"/>
      <c r="F9" s="11"/>
      <c r="G9" s="11"/>
    </row>
    <row r="10" spans="2:7" ht="27.75" customHeight="1" x14ac:dyDescent="0.4">
      <c r="B10" s="97" t="s">
        <v>357</v>
      </c>
      <c r="C10" s="10"/>
      <c r="D10" s="10"/>
      <c r="E10" s="10"/>
      <c r="F10" s="10"/>
      <c r="G10" s="10"/>
    </row>
    <row r="11" spans="2:7" ht="27.75" customHeight="1" x14ac:dyDescent="0.4">
      <c r="B11" s="98" t="s">
        <v>5</v>
      </c>
      <c r="C11" s="98"/>
      <c r="D11" s="98"/>
      <c r="E11" s="98"/>
      <c r="F11" s="98"/>
      <c r="G11" s="98"/>
    </row>
    <row r="12" spans="2:7" ht="27.75" customHeight="1" x14ac:dyDescent="0.4">
      <c r="B12" s="99" t="s">
        <v>358</v>
      </c>
      <c r="C12" s="100"/>
      <c r="D12" s="100"/>
      <c r="E12" s="100"/>
      <c r="F12" s="100"/>
      <c r="G12" s="100"/>
    </row>
    <row r="14" spans="2:7" ht="19.5" customHeight="1" x14ac:dyDescent="0.4">
      <c r="B14" s="11" t="s">
        <v>6</v>
      </c>
      <c r="C14" s="11"/>
      <c r="D14" s="11"/>
      <c r="E14" s="11"/>
      <c r="F14" s="11"/>
      <c r="G14" s="11"/>
    </row>
    <row r="15" spans="2:7" ht="27.75" customHeight="1" x14ac:dyDescent="0.4">
      <c r="B15" s="97" t="s">
        <v>359</v>
      </c>
      <c r="C15" s="10"/>
      <c r="D15" s="10"/>
      <c r="E15" s="10"/>
      <c r="F15" s="10"/>
      <c r="G15" s="10"/>
    </row>
    <row r="16" spans="2:7" ht="27.75" customHeight="1" x14ac:dyDescent="0.4">
      <c r="B16" s="10" t="s">
        <v>7</v>
      </c>
      <c r="C16" s="10"/>
      <c r="D16" s="10"/>
      <c r="E16" s="10"/>
      <c r="F16" s="10"/>
      <c r="G16" s="10"/>
    </row>
    <row r="17" spans="2:7" ht="27.75" customHeight="1" x14ac:dyDescent="0.4">
      <c r="B17" s="10" t="s">
        <v>8</v>
      </c>
      <c r="C17" s="10"/>
      <c r="D17" s="10"/>
      <c r="E17" s="10"/>
      <c r="F17" s="10"/>
      <c r="G17" s="10"/>
    </row>
    <row r="18" spans="2:7" ht="27.75" customHeight="1" x14ac:dyDescent="0.4">
      <c r="B18" s="10" t="s">
        <v>9</v>
      </c>
      <c r="C18" s="10"/>
      <c r="D18" s="10"/>
      <c r="E18" s="10"/>
      <c r="F18" s="10"/>
      <c r="G18" s="10"/>
    </row>
  </sheetData>
  <mergeCells count="14">
    <mergeCell ref="B15:G15"/>
    <mergeCell ref="B16:G16"/>
    <mergeCell ref="B17:G17"/>
    <mergeCell ref="B18:G18"/>
    <mergeCell ref="B9:G9"/>
    <mergeCell ref="B10:G10"/>
    <mergeCell ref="B11:G11"/>
    <mergeCell ref="B12:G12"/>
    <mergeCell ref="B14:G14"/>
    <mergeCell ref="B2:G2"/>
    <mergeCell ref="B3:G3"/>
    <mergeCell ref="B5:G5"/>
    <mergeCell ref="B6:G6"/>
    <mergeCell ref="B7:G7"/>
  </mergeCells>
  <phoneticPr fontId="4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9"/>
  <sheetViews>
    <sheetView showGridLines="0" zoomScaleNormal="100" workbookViewId="0"/>
  </sheetViews>
  <sheetFormatPr defaultColWidth="8.69140625" defaultRowHeight="14.6" x14ac:dyDescent="0.4"/>
  <cols>
    <col min="1" max="1" width="2" customWidth="1"/>
    <col min="2" max="4" width="26" customWidth="1"/>
    <col min="5" max="5" width="3" customWidth="1"/>
    <col min="6" max="7" width="24" customWidth="1"/>
  </cols>
  <sheetData>
    <row r="2" spans="2:7" ht="25.5" customHeight="1" x14ac:dyDescent="0.4">
      <c r="B2" s="9" t="s">
        <v>10</v>
      </c>
      <c r="C2" s="9"/>
      <c r="D2" s="9"/>
      <c r="E2" s="9"/>
      <c r="F2" s="9"/>
      <c r="G2" s="9"/>
    </row>
    <row r="4" spans="2:7" ht="15" customHeight="1" x14ac:dyDescent="0.4">
      <c r="B4" s="8" t="s">
        <v>11</v>
      </c>
      <c r="C4" s="8"/>
      <c r="D4" s="8"/>
      <c r="E4" s="8"/>
      <c r="F4" s="8"/>
      <c r="G4" s="8"/>
    </row>
    <row r="6" spans="2:7" x14ac:dyDescent="0.4">
      <c r="B6" s="14" t="s">
        <v>12</v>
      </c>
      <c r="F6" s="14" t="s">
        <v>13</v>
      </c>
    </row>
    <row r="7" spans="2:7" x14ac:dyDescent="0.4">
      <c r="B7" s="15" t="s">
        <v>14</v>
      </c>
      <c r="C7" s="15" t="s">
        <v>15</v>
      </c>
      <c r="D7" s="15" t="s">
        <v>16</v>
      </c>
      <c r="F7" s="15" t="s">
        <v>17</v>
      </c>
      <c r="G7" s="15" t="s">
        <v>18</v>
      </c>
    </row>
    <row r="8" spans="2:7" x14ac:dyDescent="0.4">
      <c r="B8" s="16" t="s">
        <v>19</v>
      </c>
      <c r="C8" s="16" t="s">
        <v>20</v>
      </c>
      <c r="D8" s="16" t="s">
        <v>21</v>
      </c>
      <c r="F8" s="16" t="s">
        <v>22</v>
      </c>
      <c r="G8" s="16" t="s">
        <v>23</v>
      </c>
    </row>
    <row r="9" spans="2:7" x14ac:dyDescent="0.4">
      <c r="B9" s="17" t="s">
        <v>24</v>
      </c>
      <c r="C9" s="17" t="s">
        <v>25</v>
      </c>
      <c r="D9" s="17" t="s">
        <v>26</v>
      </c>
      <c r="F9" s="17" t="s">
        <v>27</v>
      </c>
      <c r="G9" s="17" t="s">
        <v>28</v>
      </c>
    </row>
    <row r="10" spans="2:7" x14ac:dyDescent="0.4">
      <c r="B10" s="16" t="s">
        <v>29</v>
      </c>
      <c r="C10" s="16" t="s">
        <v>30</v>
      </c>
      <c r="D10" s="16" t="s">
        <v>31</v>
      </c>
      <c r="F10" s="16" t="s">
        <v>32</v>
      </c>
      <c r="G10" s="16" t="s">
        <v>33</v>
      </c>
    </row>
    <row r="11" spans="2:7" x14ac:dyDescent="0.4">
      <c r="B11" s="17" t="s">
        <v>34</v>
      </c>
      <c r="C11" s="17" t="s">
        <v>35</v>
      </c>
      <c r="D11" s="17" t="s">
        <v>36</v>
      </c>
    </row>
    <row r="13" spans="2:7" x14ac:dyDescent="0.4">
      <c r="B13" s="14" t="s">
        <v>37</v>
      </c>
      <c r="F13" s="14" t="s">
        <v>38</v>
      </c>
    </row>
    <row r="14" spans="2:7" x14ac:dyDescent="0.4">
      <c r="B14" s="15" t="s">
        <v>39</v>
      </c>
      <c r="C14" s="15" t="s">
        <v>40</v>
      </c>
      <c r="D14" s="15" t="s">
        <v>41</v>
      </c>
      <c r="F14" s="15" t="s">
        <v>39</v>
      </c>
      <c r="G14" s="15" t="s">
        <v>42</v>
      </c>
    </row>
    <row r="15" spans="2:7" x14ac:dyDescent="0.4">
      <c r="B15" s="16" t="s">
        <v>43</v>
      </c>
      <c r="C15" s="16" t="s">
        <v>44</v>
      </c>
      <c r="D15" s="16" t="s">
        <v>45</v>
      </c>
      <c r="F15" s="16" t="s">
        <v>46</v>
      </c>
      <c r="G15" s="16" t="s">
        <v>47</v>
      </c>
    </row>
    <row r="16" spans="2:7" x14ac:dyDescent="0.4">
      <c r="B16" s="17" t="s">
        <v>48</v>
      </c>
      <c r="C16" s="17" t="s">
        <v>49</v>
      </c>
      <c r="D16" s="17"/>
      <c r="F16" s="17" t="s">
        <v>48</v>
      </c>
      <c r="G16" s="17"/>
    </row>
    <row r="17" spans="2:7" x14ac:dyDescent="0.4">
      <c r="B17" s="16" t="s">
        <v>50</v>
      </c>
      <c r="C17" s="16" t="s">
        <v>51</v>
      </c>
      <c r="D17" s="16" t="s">
        <v>52</v>
      </c>
      <c r="F17" s="16" t="s">
        <v>50</v>
      </c>
      <c r="G17" s="16"/>
    </row>
    <row r="19" spans="2:7" ht="24" customHeight="1" x14ac:dyDescent="0.4">
      <c r="B19" s="7" t="s">
        <v>53</v>
      </c>
      <c r="C19" s="7"/>
      <c r="D19" s="7"/>
      <c r="E19" s="7"/>
      <c r="F19" s="7"/>
      <c r="G19" s="7"/>
    </row>
  </sheetData>
  <mergeCells count="3">
    <mergeCell ref="B2:G2"/>
    <mergeCell ref="B4:G4"/>
    <mergeCell ref="B19:G19"/>
  </mergeCells>
  <phoneticPr fontId="4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20"/>
  <sheetViews>
    <sheetView showGridLines="0" zoomScaleNormal="100" workbookViewId="0"/>
  </sheetViews>
  <sheetFormatPr defaultColWidth="8.69140625" defaultRowHeight="14.6" x14ac:dyDescent="0.4"/>
  <cols>
    <col min="1" max="1" width="2" customWidth="1"/>
    <col min="2" max="2" width="20" customWidth="1"/>
    <col min="3" max="8" width="12" customWidth="1"/>
  </cols>
  <sheetData>
    <row r="2" spans="2:8" ht="25.5" customHeight="1" x14ac:dyDescent="0.4">
      <c r="B2" s="9" t="s">
        <v>54</v>
      </c>
      <c r="C2" s="9"/>
      <c r="D2" s="9"/>
      <c r="E2" s="9"/>
      <c r="F2" s="9"/>
      <c r="G2" s="9"/>
      <c r="H2" s="9"/>
    </row>
    <row r="4" spans="2:8" ht="22.4" customHeight="1" x14ac:dyDescent="0.4">
      <c r="B4" s="8" t="s">
        <v>55</v>
      </c>
      <c r="C4" s="8"/>
      <c r="D4" s="8"/>
      <c r="E4" s="8"/>
      <c r="F4" s="8"/>
      <c r="G4" s="8"/>
      <c r="H4" s="8"/>
    </row>
    <row r="6" spans="2:8" x14ac:dyDescent="0.4">
      <c r="B6" s="15" t="s">
        <v>56</v>
      </c>
      <c r="C6" s="15" t="s">
        <v>57</v>
      </c>
      <c r="D6" s="15" t="s">
        <v>58</v>
      </c>
      <c r="E6" s="15" t="s">
        <v>59</v>
      </c>
      <c r="F6" s="15" t="s">
        <v>60</v>
      </c>
      <c r="G6" s="15" t="s">
        <v>61</v>
      </c>
      <c r="H6" s="15" t="s">
        <v>62</v>
      </c>
    </row>
    <row r="7" spans="2:8" x14ac:dyDescent="0.4">
      <c r="B7" s="16" t="s">
        <v>63</v>
      </c>
      <c r="C7" s="16">
        <v>2</v>
      </c>
      <c r="D7" s="16">
        <v>2</v>
      </c>
      <c r="E7" s="16">
        <v>2</v>
      </c>
      <c r="F7" s="16">
        <v>2</v>
      </c>
      <c r="G7" s="16">
        <v>3</v>
      </c>
      <c r="H7" s="16">
        <v>5</v>
      </c>
    </row>
    <row r="8" spans="2:8" x14ac:dyDescent="0.4">
      <c r="B8" s="17" t="s">
        <v>64</v>
      </c>
      <c r="C8" s="17">
        <v>4</v>
      </c>
      <c r="D8" s="17">
        <v>3</v>
      </c>
      <c r="E8" s="17">
        <v>4</v>
      </c>
      <c r="F8" s="17">
        <v>5</v>
      </c>
      <c r="G8" s="17">
        <v>4</v>
      </c>
      <c r="H8" s="17">
        <v>5</v>
      </c>
    </row>
    <row r="9" spans="2:8" x14ac:dyDescent="0.4">
      <c r="B9" s="16" t="s">
        <v>65</v>
      </c>
      <c r="C9" s="16">
        <v>2</v>
      </c>
      <c r="D9" s="16">
        <v>2</v>
      </c>
      <c r="E9" s="16">
        <v>3</v>
      </c>
      <c r="F9" s="16">
        <v>3</v>
      </c>
      <c r="G9" s="16">
        <v>3</v>
      </c>
      <c r="H9" s="16">
        <v>5</v>
      </c>
    </row>
    <row r="10" spans="2:8" x14ac:dyDescent="0.4">
      <c r="B10" s="17" t="s">
        <v>66</v>
      </c>
      <c r="C10" s="17">
        <v>4</v>
      </c>
      <c r="D10" s="17">
        <v>4</v>
      </c>
      <c r="E10" s="17">
        <v>3</v>
      </c>
      <c r="F10" s="17">
        <v>4</v>
      </c>
      <c r="G10" s="17">
        <v>2</v>
      </c>
      <c r="H10" s="17">
        <v>2</v>
      </c>
    </row>
    <row r="11" spans="2:8" x14ac:dyDescent="0.4">
      <c r="B11" s="16" t="s">
        <v>67</v>
      </c>
      <c r="C11" s="16">
        <v>5</v>
      </c>
      <c r="D11" s="16">
        <v>5</v>
      </c>
      <c r="E11" s="16">
        <v>2</v>
      </c>
      <c r="F11" s="16">
        <v>5</v>
      </c>
      <c r="G11" s="16">
        <v>2</v>
      </c>
      <c r="H11" s="16">
        <v>5</v>
      </c>
    </row>
    <row r="12" spans="2:8" x14ac:dyDescent="0.4">
      <c r="B12" s="17" t="s">
        <v>68</v>
      </c>
      <c r="C12" s="17">
        <v>4</v>
      </c>
      <c r="D12" s="17">
        <v>5</v>
      </c>
      <c r="E12" s="17">
        <v>2</v>
      </c>
      <c r="F12" s="17">
        <v>4</v>
      </c>
      <c r="G12" s="17">
        <v>2</v>
      </c>
      <c r="H12" s="17">
        <v>2</v>
      </c>
    </row>
    <row r="13" spans="2:8" x14ac:dyDescent="0.4">
      <c r="B13" s="16" t="s">
        <v>69</v>
      </c>
      <c r="C13" s="16">
        <v>4</v>
      </c>
      <c r="D13" s="16">
        <v>5</v>
      </c>
      <c r="E13" s="16">
        <v>5</v>
      </c>
      <c r="F13" s="16">
        <v>5</v>
      </c>
      <c r="G13" s="16">
        <v>3</v>
      </c>
      <c r="H13" s="16">
        <v>4</v>
      </c>
    </row>
    <row r="14" spans="2:8" x14ac:dyDescent="0.4">
      <c r="B14" s="17" t="s">
        <v>70</v>
      </c>
      <c r="C14" s="17">
        <v>3</v>
      </c>
      <c r="D14" s="17">
        <v>4</v>
      </c>
      <c r="E14" s="17">
        <v>5</v>
      </c>
      <c r="F14" s="17">
        <v>5</v>
      </c>
      <c r="G14" s="17">
        <v>3</v>
      </c>
      <c r="H14" s="17">
        <v>4</v>
      </c>
    </row>
    <row r="15" spans="2:8" x14ac:dyDescent="0.4">
      <c r="B15" s="16" t="s">
        <v>71</v>
      </c>
      <c r="C15" s="16">
        <v>5</v>
      </c>
      <c r="D15" s="16">
        <v>5</v>
      </c>
      <c r="E15" s="16">
        <v>5</v>
      </c>
      <c r="F15" s="16">
        <v>2</v>
      </c>
      <c r="G15" s="16">
        <v>2</v>
      </c>
      <c r="H15" s="16">
        <v>2</v>
      </c>
    </row>
    <row r="16" spans="2:8" x14ac:dyDescent="0.4">
      <c r="B16" s="17" t="s">
        <v>72</v>
      </c>
      <c r="C16" s="17">
        <v>5</v>
      </c>
      <c r="D16" s="17">
        <v>4</v>
      </c>
      <c r="E16" s="17">
        <v>4</v>
      </c>
      <c r="F16" s="17">
        <v>4</v>
      </c>
      <c r="G16" s="17">
        <v>2</v>
      </c>
      <c r="H16" s="17">
        <v>2</v>
      </c>
    </row>
    <row r="17" spans="2:8" x14ac:dyDescent="0.4">
      <c r="B17" s="16" t="s">
        <v>73</v>
      </c>
      <c r="C17" s="16">
        <v>5</v>
      </c>
      <c r="D17" s="16">
        <v>5</v>
      </c>
      <c r="E17" s="16">
        <v>2</v>
      </c>
      <c r="F17" s="16">
        <v>5</v>
      </c>
      <c r="G17" s="16">
        <v>2</v>
      </c>
      <c r="H17" s="16">
        <v>3</v>
      </c>
    </row>
    <row r="18" spans="2:8" x14ac:dyDescent="0.4">
      <c r="B18" s="17" t="s">
        <v>32</v>
      </c>
      <c r="C18" s="17">
        <v>1</v>
      </c>
      <c r="D18" s="17">
        <v>5</v>
      </c>
      <c r="E18" s="17">
        <v>3</v>
      </c>
      <c r="F18" s="17">
        <v>2</v>
      </c>
      <c r="G18" s="17">
        <v>5</v>
      </c>
      <c r="H18" s="17">
        <v>2</v>
      </c>
    </row>
    <row r="20" spans="2:8" ht="24" customHeight="1" x14ac:dyDescent="0.4">
      <c r="B20" s="7" t="s">
        <v>74</v>
      </c>
      <c r="C20" s="7"/>
      <c r="D20" s="7"/>
      <c r="E20" s="7"/>
      <c r="F20" s="7"/>
      <c r="G20" s="7"/>
      <c r="H20" s="7"/>
    </row>
  </sheetData>
  <mergeCells count="3">
    <mergeCell ref="B2:H2"/>
    <mergeCell ref="B4:H4"/>
    <mergeCell ref="B20:H20"/>
  </mergeCells>
  <phoneticPr fontId="4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7"/>
  <sheetViews>
    <sheetView showGridLines="0" zoomScaleNormal="100" workbookViewId="0"/>
  </sheetViews>
  <sheetFormatPr defaultColWidth="8.69140625" defaultRowHeight="14.6" x14ac:dyDescent="0.4"/>
  <cols>
    <col min="1" max="1" width="2" customWidth="1"/>
    <col min="2" max="2" width="26" customWidth="1"/>
    <col min="3" max="3" width="22" customWidth="1"/>
    <col min="4" max="7" width="17" customWidth="1"/>
  </cols>
  <sheetData>
    <row r="2" spans="2:7" ht="25.5" customHeight="1" x14ac:dyDescent="0.4">
      <c r="B2" s="9" t="s">
        <v>75</v>
      </c>
      <c r="C2" s="9"/>
      <c r="D2" s="9"/>
      <c r="E2" s="9"/>
      <c r="F2" s="9"/>
      <c r="G2" s="9"/>
    </row>
    <row r="4" spans="2:7" ht="15" customHeight="1" x14ac:dyDescent="0.4">
      <c r="B4" s="8" t="s">
        <v>76</v>
      </c>
      <c r="C4" s="8"/>
      <c r="D4" s="8"/>
      <c r="E4" s="8"/>
      <c r="F4" s="8"/>
      <c r="G4" s="8"/>
    </row>
    <row r="6" spans="2:7" ht="21.75" customHeight="1" x14ac:dyDescent="0.4">
      <c r="B6" s="19" t="s">
        <v>57</v>
      </c>
      <c r="C6" s="20" t="s">
        <v>77</v>
      </c>
      <c r="D6" s="16" t="s">
        <v>78</v>
      </c>
      <c r="E6" s="16" t="s">
        <v>79</v>
      </c>
      <c r="F6" s="16" t="s">
        <v>80</v>
      </c>
      <c r="G6" s="21"/>
    </row>
    <row r="7" spans="2:7" ht="21.75" customHeight="1" x14ac:dyDescent="0.4">
      <c r="B7" s="19" t="s">
        <v>81</v>
      </c>
      <c r="C7" s="20" t="s">
        <v>82</v>
      </c>
      <c r="D7" s="16" t="s">
        <v>83</v>
      </c>
      <c r="E7" s="16" t="s">
        <v>84</v>
      </c>
      <c r="F7" s="16" t="s">
        <v>85</v>
      </c>
      <c r="G7" s="21"/>
    </row>
    <row r="8" spans="2:7" ht="21.75" customHeight="1" x14ac:dyDescent="0.4">
      <c r="B8" s="19" t="s">
        <v>86</v>
      </c>
      <c r="C8" s="20" t="s">
        <v>87</v>
      </c>
      <c r="D8" s="16" t="s">
        <v>88</v>
      </c>
      <c r="E8" s="16" t="s">
        <v>89</v>
      </c>
      <c r="F8" s="16" t="s">
        <v>90</v>
      </c>
      <c r="G8" s="21"/>
    </row>
    <row r="9" spans="2:7" ht="21.75" customHeight="1" x14ac:dyDescent="0.4">
      <c r="B9" s="19" t="s">
        <v>91</v>
      </c>
      <c r="C9" s="20" t="s">
        <v>92</v>
      </c>
      <c r="D9" s="16" t="s">
        <v>93</v>
      </c>
      <c r="E9" s="16" t="s">
        <v>94</v>
      </c>
      <c r="F9" s="16" t="s">
        <v>95</v>
      </c>
      <c r="G9" s="21"/>
    </row>
    <row r="10" spans="2:7" ht="21.75" customHeight="1" x14ac:dyDescent="0.4">
      <c r="B10" s="19" t="s">
        <v>96</v>
      </c>
      <c r="C10" s="20" t="s">
        <v>97</v>
      </c>
      <c r="D10" s="16" t="s">
        <v>98</v>
      </c>
      <c r="E10" s="16" t="s">
        <v>99</v>
      </c>
      <c r="F10" s="16" t="s">
        <v>100</v>
      </c>
      <c r="G10" s="21"/>
    </row>
    <row r="11" spans="2:7" ht="21.75" customHeight="1" x14ac:dyDescent="0.4">
      <c r="B11" s="19" t="s">
        <v>101</v>
      </c>
      <c r="C11" s="20" t="s">
        <v>102</v>
      </c>
      <c r="D11" s="16" t="s">
        <v>103</v>
      </c>
      <c r="E11" s="16" t="s">
        <v>104</v>
      </c>
      <c r="F11" s="16" t="s">
        <v>105</v>
      </c>
      <c r="G11" s="21"/>
    </row>
    <row r="12" spans="2:7" ht="21.75" customHeight="1" x14ac:dyDescent="0.4">
      <c r="B12" s="19" t="s">
        <v>106</v>
      </c>
      <c r="C12" s="20" t="s">
        <v>107</v>
      </c>
      <c r="D12" s="16" t="s">
        <v>108</v>
      </c>
      <c r="E12" s="16" t="s">
        <v>104</v>
      </c>
      <c r="F12" s="16" t="s">
        <v>109</v>
      </c>
      <c r="G12" s="21"/>
    </row>
    <row r="13" spans="2:7" ht="21.75" customHeight="1" x14ac:dyDescent="0.4">
      <c r="B13" s="19" t="s">
        <v>110</v>
      </c>
      <c r="C13" s="20" t="s">
        <v>111</v>
      </c>
      <c r="D13" s="16" t="s">
        <v>112</v>
      </c>
      <c r="E13" s="16" t="s">
        <v>113</v>
      </c>
      <c r="F13" s="16" t="s">
        <v>114</v>
      </c>
      <c r="G13" s="21"/>
    </row>
    <row r="14" spans="2:7" ht="21.75" customHeight="1" x14ac:dyDescent="0.4">
      <c r="B14" s="19" t="s">
        <v>115</v>
      </c>
      <c r="C14" s="20" t="s">
        <v>116</v>
      </c>
      <c r="D14" s="16" t="s">
        <v>117</v>
      </c>
      <c r="E14" s="16" t="s">
        <v>118</v>
      </c>
      <c r="F14" s="16" t="s">
        <v>119</v>
      </c>
      <c r="G14" s="21"/>
    </row>
    <row r="15" spans="2:7" ht="21.75" customHeight="1" x14ac:dyDescent="0.4">
      <c r="B15" s="19" t="s">
        <v>120</v>
      </c>
      <c r="C15" s="20" t="s">
        <v>121</v>
      </c>
      <c r="D15" s="16" t="s">
        <v>122</v>
      </c>
      <c r="E15" s="16" t="s">
        <v>123</v>
      </c>
      <c r="F15" s="16" t="s">
        <v>124</v>
      </c>
      <c r="G15" s="21"/>
    </row>
    <row r="17" spans="2:2" x14ac:dyDescent="0.4">
      <c r="B17" s="18" t="s">
        <v>125</v>
      </c>
    </row>
  </sheetData>
  <mergeCells count="2">
    <mergeCell ref="B2:G2"/>
    <mergeCell ref="B4:G4"/>
  </mergeCells>
  <phoneticPr fontId="4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8"/>
  <sheetViews>
    <sheetView showGridLines="0" zoomScaleNormal="100" workbookViewId="0"/>
  </sheetViews>
  <sheetFormatPr defaultColWidth="8.69140625" defaultRowHeight="14.6" x14ac:dyDescent="0.4"/>
  <cols>
    <col min="1" max="1" width="2" customWidth="1"/>
    <col min="2" max="2" width="22" customWidth="1"/>
    <col min="3" max="12" width="8" customWidth="1"/>
    <col min="13" max="13" width="30" customWidth="1"/>
    <col min="14" max="14" width="62" customWidth="1"/>
  </cols>
  <sheetData>
    <row r="2" spans="2:14" ht="25.5" customHeight="1" x14ac:dyDescent="0.4">
      <c r="B2" s="9" t="s">
        <v>126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spans="2:14" ht="15" customHeight="1" x14ac:dyDescent="0.4">
      <c r="B4" s="8" t="s">
        <v>127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2:14" ht="24" customHeight="1" x14ac:dyDescent="0.4">
      <c r="B5" s="22" t="s">
        <v>128</v>
      </c>
      <c r="C5" s="23" t="s">
        <v>57</v>
      </c>
      <c r="D5" s="23" t="s">
        <v>129</v>
      </c>
      <c r="E5" s="23" t="s">
        <v>60</v>
      </c>
      <c r="F5" s="23" t="s">
        <v>62</v>
      </c>
      <c r="G5" s="23" t="s">
        <v>130</v>
      </c>
      <c r="H5" s="23" t="s">
        <v>101</v>
      </c>
      <c r="I5" s="23" t="s">
        <v>59</v>
      </c>
      <c r="J5" s="23" t="s">
        <v>131</v>
      </c>
      <c r="K5" s="23" t="s">
        <v>61</v>
      </c>
      <c r="L5" s="23" t="s">
        <v>132</v>
      </c>
      <c r="M5" s="24" t="s">
        <v>133</v>
      </c>
      <c r="N5" s="25" t="s">
        <v>134</v>
      </c>
    </row>
    <row r="6" spans="2:14" ht="54" customHeight="1" x14ac:dyDescent="0.4">
      <c r="B6" s="26" t="s">
        <v>135</v>
      </c>
      <c r="C6" s="27">
        <v>2</v>
      </c>
      <c r="D6" s="27">
        <v>5</v>
      </c>
      <c r="E6" s="27">
        <v>4</v>
      </c>
      <c r="F6" s="27">
        <v>4</v>
      </c>
      <c r="G6" s="27">
        <v>5</v>
      </c>
      <c r="H6" s="27">
        <v>3</v>
      </c>
      <c r="I6" s="27">
        <v>3</v>
      </c>
      <c r="J6" s="27">
        <v>3</v>
      </c>
      <c r="K6" s="27">
        <v>4</v>
      </c>
      <c r="L6" s="27">
        <v>2</v>
      </c>
      <c r="M6" s="28" t="s">
        <v>136</v>
      </c>
      <c r="N6" s="29" t="s">
        <v>137</v>
      </c>
    </row>
    <row r="7" spans="2:14" ht="54" customHeight="1" x14ac:dyDescent="0.4">
      <c r="B7" s="30" t="s">
        <v>138</v>
      </c>
      <c r="C7" s="27">
        <v>3</v>
      </c>
      <c r="D7" s="27">
        <v>2</v>
      </c>
      <c r="E7" s="27">
        <v>5</v>
      </c>
      <c r="F7" s="27">
        <v>5</v>
      </c>
      <c r="G7" s="27">
        <v>5</v>
      </c>
      <c r="H7" s="27">
        <v>4</v>
      </c>
      <c r="I7" s="27">
        <v>2</v>
      </c>
      <c r="J7" s="27">
        <v>4</v>
      </c>
      <c r="K7" s="27">
        <v>3</v>
      </c>
      <c r="L7" s="27">
        <v>3</v>
      </c>
      <c r="M7" s="28" t="s">
        <v>139</v>
      </c>
      <c r="N7" s="29" t="s">
        <v>140</v>
      </c>
    </row>
    <row r="8" spans="2:14" ht="54" customHeight="1" x14ac:dyDescent="0.4">
      <c r="B8" s="31" t="s">
        <v>141</v>
      </c>
      <c r="C8" s="27">
        <v>5</v>
      </c>
      <c r="D8" s="27">
        <v>1</v>
      </c>
      <c r="E8" s="27">
        <v>3</v>
      </c>
      <c r="F8" s="27">
        <v>3</v>
      </c>
      <c r="G8" s="27">
        <v>3</v>
      </c>
      <c r="H8" s="27">
        <v>5</v>
      </c>
      <c r="I8" s="27">
        <v>5</v>
      </c>
      <c r="J8" s="27">
        <v>5</v>
      </c>
      <c r="K8" s="27">
        <v>5</v>
      </c>
      <c r="L8" s="27">
        <v>4</v>
      </c>
      <c r="M8" s="28" t="s">
        <v>142</v>
      </c>
      <c r="N8" s="29" t="s">
        <v>143</v>
      </c>
    </row>
  </sheetData>
  <mergeCells count="2">
    <mergeCell ref="B2:N2"/>
    <mergeCell ref="B4:N4"/>
  </mergeCells>
  <phoneticPr fontId="4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17"/>
  <sheetViews>
    <sheetView showGridLines="0" tabSelected="1" zoomScaleNormal="100" workbookViewId="0"/>
  </sheetViews>
  <sheetFormatPr defaultColWidth="8.69140625" defaultRowHeight="14.6" x14ac:dyDescent="0.4"/>
  <cols>
    <col min="1" max="1" width="2" customWidth="1"/>
    <col min="2" max="2" width="20" customWidth="1"/>
    <col min="3" max="3" width="22" customWidth="1"/>
    <col min="4" max="7" width="15" customWidth="1"/>
    <col min="9" max="9" width="52" customWidth="1"/>
  </cols>
  <sheetData>
    <row r="2" spans="2:9" ht="25.5" customHeight="1" x14ac:dyDescent="0.4">
      <c r="B2" s="9" t="s">
        <v>144</v>
      </c>
      <c r="C2" s="9"/>
      <c r="D2" s="9"/>
      <c r="E2" s="9"/>
      <c r="F2" s="9"/>
      <c r="G2" s="9"/>
      <c r="H2" s="9"/>
    </row>
    <row r="4" spans="2:9" x14ac:dyDescent="0.4">
      <c r="B4" s="32" t="s">
        <v>145</v>
      </c>
    </row>
    <row r="5" spans="2:9" x14ac:dyDescent="0.4">
      <c r="D5" s="33" t="s">
        <v>146</v>
      </c>
      <c r="E5" s="33" t="s">
        <v>147</v>
      </c>
      <c r="F5" s="33" t="s">
        <v>148</v>
      </c>
      <c r="G5" s="33" t="s">
        <v>149</v>
      </c>
    </row>
    <row r="6" spans="2:9" x14ac:dyDescent="0.4">
      <c r="B6" s="34" t="s">
        <v>150</v>
      </c>
      <c r="D6" s="35">
        <v>0.25</v>
      </c>
      <c r="E6" s="35">
        <v>0.25</v>
      </c>
      <c r="F6" s="35">
        <v>0.25</v>
      </c>
      <c r="G6" s="35">
        <v>0.25</v>
      </c>
    </row>
    <row r="8" spans="2:9" x14ac:dyDescent="0.4">
      <c r="B8" s="32" t="s">
        <v>151</v>
      </c>
    </row>
    <row r="9" spans="2:9" x14ac:dyDescent="0.4">
      <c r="B9" s="36" t="s">
        <v>128</v>
      </c>
      <c r="C9" s="36" t="s">
        <v>146</v>
      </c>
      <c r="D9" s="36" t="s">
        <v>147</v>
      </c>
      <c r="E9" s="36" t="s">
        <v>148</v>
      </c>
      <c r="F9" s="36" t="s">
        <v>149</v>
      </c>
    </row>
    <row r="10" spans="2:9" ht="33.75" customHeight="1" x14ac:dyDescent="0.4">
      <c r="B10" s="37" t="s">
        <v>135</v>
      </c>
      <c r="C10" s="38">
        <v>80</v>
      </c>
      <c r="D10" s="38">
        <v>90</v>
      </c>
      <c r="E10" s="38">
        <v>90</v>
      </c>
      <c r="F10" s="38">
        <v>60</v>
      </c>
      <c r="I10" s="39" t="s">
        <v>152</v>
      </c>
    </row>
    <row r="11" spans="2:9" ht="33.75" customHeight="1" x14ac:dyDescent="0.4">
      <c r="B11" s="40" t="s">
        <v>138</v>
      </c>
      <c r="C11" s="38">
        <v>85</v>
      </c>
      <c r="D11" s="38">
        <v>92</v>
      </c>
      <c r="E11" s="38">
        <v>85</v>
      </c>
      <c r="F11" s="38">
        <v>85</v>
      </c>
      <c r="I11" s="39" t="s">
        <v>153</v>
      </c>
    </row>
    <row r="12" spans="2:9" ht="33.75" customHeight="1" x14ac:dyDescent="0.4">
      <c r="B12" s="41" t="s">
        <v>141</v>
      </c>
      <c r="C12" s="38">
        <v>25</v>
      </c>
      <c r="D12" s="38">
        <v>25</v>
      </c>
      <c r="E12" s="38">
        <v>65</v>
      </c>
      <c r="F12" s="38">
        <v>5</v>
      </c>
      <c r="I12" s="39" t="s">
        <v>154</v>
      </c>
    </row>
    <row r="14" spans="2:9" x14ac:dyDescent="0.4">
      <c r="B14" s="32" t="s">
        <v>155</v>
      </c>
    </row>
    <row r="15" spans="2:9" x14ac:dyDescent="0.4">
      <c r="B15" s="42" t="str">
        <f>B10</f>
        <v>Structural Skin</v>
      </c>
      <c r="C15" s="43">
        <f>SUMPRODUCT(C10:F10,$D$6:$G$6)</f>
        <v>80</v>
      </c>
    </row>
    <row r="16" spans="2:9" x14ac:dyDescent="0.4">
      <c r="B16" s="42" t="str">
        <f>B11</f>
        <v>Structural Foam</v>
      </c>
      <c r="C16" s="43">
        <f>SUMPRODUCT(C11:F11,$D$6:$G$6)</f>
        <v>86.75</v>
      </c>
    </row>
    <row r="17" spans="2:3" x14ac:dyDescent="0.4">
      <c r="B17" s="42" t="str">
        <f>B12</f>
        <v>Internal Structure</v>
      </c>
      <c r="C17" s="43">
        <f>SUMPRODUCT(C12:F12,$D$6:$G$6)</f>
        <v>30</v>
      </c>
    </row>
  </sheetData>
  <mergeCells count="1">
    <mergeCell ref="B2:H2"/>
  </mergeCells>
  <phoneticPr fontId="4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D14"/>
  <sheetViews>
    <sheetView showGridLines="0" zoomScaleNormal="100" workbookViewId="0"/>
  </sheetViews>
  <sheetFormatPr defaultColWidth="8.69140625" defaultRowHeight="14.6" x14ac:dyDescent="0.4"/>
  <cols>
    <col min="1" max="1" width="2" customWidth="1"/>
    <col min="2" max="2" width="30" customWidth="1"/>
    <col min="3" max="3" width="26" customWidth="1"/>
    <col min="4" max="4" width="38" customWidth="1"/>
  </cols>
  <sheetData>
    <row r="2" spans="2:4" ht="25.5" customHeight="1" x14ac:dyDescent="0.4">
      <c r="B2" s="9" t="s">
        <v>156</v>
      </c>
      <c r="C2" s="9"/>
      <c r="D2" s="9"/>
    </row>
    <row r="5" spans="2:4" x14ac:dyDescent="0.4">
      <c r="B5" s="22" t="s">
        <v>157</v>
      </c>
      <c r="C5" s="22" t="s">
        <v>158</v>
      </c>
      <c r="D5" s="22" t="s">
        <v>159</v>
      </c>
    </row>
    <row r="6" spans="2:4" x14ac:dyDescent="0.4">
      <c r="B6" s="16" t="s">
        <v>160</v>
      </c>
      <c r="C6" s="16" t="s">
        <v>161</v>
      </c>
      <c r="D6" s="44" t="s">
        <v>162</v>
      </c>
    </row>
    <row r="7" spans="2:4" x14ac:dyDescent="0.4">
      <c r="B7" s="17" t="s">
        <v>163</v>
      </c>
      <c r="C7" s="17" t="s">
        <v>164</v>
      </c>
      <c r="D7" s="45" t="s">
        <v>165</v>
      </c>
    </row>
    <row r="8" spans="2:4" ht="23.15" x14ac:dyDescent="0.4">
      <c r="B8" s="16" t="s">
        <v>166</v>
      </c>
      <c r="C8" s="16" t="s">
        <v>167</v>
      </c>
      <c r="D8" s="44" t="s">
        <v>168</v>
      </c>
    </row>
    <row r="9" spans="2:4" ht="23.15" x14ac:dyDescent="0.4">
      <c r="B9" s="17" t="s">
        <v>169</v>
      </c>
      <c r="C9" s="17" t="s">
        <v>170</v>
      </c>
      <c r="D9" s="45" t="s">
        <v>171</v>
      </c>
    </row>
    <row r="10" spans="2:4" x14ac:dyDescent="0.4">
      <c r="B10" s="16" t="s">
        <v>172</v>
      </c>
      <c r="C10" s="16" t="s">
        <v>173</v>
      </c>
      <c r="D10" s="44" t="s">
        <v>174</v>
      </c>
    </row>
    <row r="11" spans="2:4" x14ac:dyDescent="0.4">
      <c r="B11" s="17" t="s">
        <v>175</v>
      </c>
      <c r="C11" s="17" t="s">
        <v>176</v>
      </c>
      <c r="D11" s="45" t="s">
        <v>177</v>
      </c>
    </row>
    <row r="12" spans="2:4" ht="23.15" x14ac:dyDescent="0.4">
      <c r="B12" s="46" t="s">
        <v>178</v>
      </c>
      <c r="C12" s="46" t="s">
        <v>179</v>
      </c>
      <c r="D12" s="47" t="s">
        <v>180</v>
      </c>
    </row>
    <row r="14" spans="2:4" x14ac:dyDescent="0.4">
      <c r="B14" s="48" t="s">
        <v>181</v>
      </c>
    </row>
  </sheetData>
  <mergeCells count="1">
    <mergeCell ref="B2:D2"/>
  </mergeCells>
  <phoneticPr fontId="4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"/>
  <sheetViews>
    <sheetView showGridLines="0" zoomScaleNormal="100" workbookViewId="0">
      <pane xSplit="7" ySplit="4" topLeftCell="H5" activePane="bottomRight" state="frozen"/>
      <selection pane="topRight" activeCell="H1" sqref="H1"/>
      <selection pane="bottomLeft" activeCell="A5" sqref="A5"/>
      <selection pane="bottomRight"/>
    </sheetView>
  </sheetViews>
  <sheetFormatPr defaultColWidth="8.69140625" defaultRowHeight="14.6" x14ac:dyDescent="0.4"/>
  <cols>
    <col min="1" max="1" width="4" customWidth="1"/>
    <col min="2" max="2" width="24" customWidth="1"/>
    <col min="3" max="3" width="11" customWidth="1"/>
    <col min="4" max="7" width="9" customWidth="1"/>
    <col min="8" max="17" width="5.53515625" customWidth="1"/>
    <col min="18" max="28" width="7" customWidth="1"/>
    <col min="29" max="31" width="8" customWidth="1"/>
    <col min="32" max="32" width="10" customWidth="1"/>
    <col min="33" max="34" width="8" customWidth="1"/>
  </cols>
  <sheetData>
    <row r="1" spans="1:34" ht="24" customHeight="1" x14ac:dyDescent="0.4">
      <c r="A1" s="6" t="s">
        <v>182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x14ac:dyDescent="0.4">
      <c r="B2" s="49" t="s">
        <v>183</v>
      </c>
      <c r="C2" s="27">
        <v>8</v>
      </c>
      <c r="D2" s="49" t="s">
        <v>184</v>
      </c>
      <c r="E2" s="50">
        <v>0.7</v>
      </c>
      <c r="F2" s="49" t="s">
        <v>185</v>
      </c>
      <c r="G2" s="51">
        <f>1-E2</f>
        <v>0.30000000000000004</v>
      </c>
      <c r="I2" s="52" t="s">
        <v>186</v>
      </c>
      <c r="J2" s="53">
        <f>L6_Circularity!$C$15</f>
        <v>80</v>
      </c>
      <c r="K2" s="53">
        <f>L6_Circularity!$C$16</f>
        <v>86.75</v>
      </c>
      <c r="L2" s="53">
        <f>L6_Circularity!$C$17</f>
        <v>30</v>
      </c>
    </row>
    <row r="3" spans="1:34" ht="15" customHeight="1" x14ac:dyDescent="0.4">
      <c r="A3" s="5" t="s">
        <v>187</v>
      </c>
      <c r="B3" s="5"/>
      <c r="C3" s="5"/>
      <c r="D3" s="5"/>
      <c r="E3" s="5"/>
      <c r="F3" s="5"/>
      <c r="G3" s="5"/>
      <c r="H3" s="4" t="s">
        <v>188</v>
      </c>
      <c r="I3" s="4"/>
      <c r="J3" s="4"/>
      <c r="K3" s="4"/>
      <c r="L3" s="4"/>
      <c r="M3" s="4"/>
      <c r="N3" s="4"/>
      <c r="O3" s="4"/>
      <c r="P3" s="4"/>
      <c r="Q3" s="4"/>
      <c r="R3" s="4" t="s">
        <v>189</v>
      </c>
      <c r="S3" s="4"/>
      <c r="T3" s="5" t="s">
        <v>190</v>
      </c>
      <c r="U3" s="5"/>
      <c r="V3" s="5"/>
      <c r="W3" s="5" t="s">
        <v>158</v>
      </c>
      <c r="X3" s="5"/>
      <c r="Y3" s="5"/>
      <c r="Z3" s="3" t="s">
        <v>191</v>
      </c>
      <c r="AA3" s="3"/>
      <c r="AB3" s="3"/>
      <c r="AC3" s="3" t="s">
        <v>192</v>
      </c>
      <c r="AD3" s="3"/>
      <c r="AE3" s="3"/>
      <c r="AF3" s="3" t="s">
        <v>193</v>
      </c>
      <c r="AG3" s="3"/>
      <c r="AH3" s="3"/>
    </row>
    <row r="4" spans="1:34" ht="19.5" customHeight="1" x14ac:dyDescent="0.4">
      <c r="A4" s="54" t="s">
        <v>194</v>
      </c>
      <c r="B4" s="54" t="s">
        <v>17</v>
      </c>
      <c r="C4" s="54" t="s">
        <v>195</v>
      </c>
      <c r="D4" s="54" t="s">
        <v>14</v>
      </c>
      <c r="E4" s="54" t="s">
        <v>196</v>
      </c>
      <c r="F4" s="54" t="s">
        <v>197</v>
      </c>
      <c r="G4" s="54" t="s">
        <v>198</v>
      </c>
      <c r="H4" s="54" t="s">
        <v>57</v>
      </c>
      <c r="I4" s="54" t="s">
        <v>199</v>
      </c>
      <c r="J4" s="54" t="s">
        <v>200</v>
      </c>
      <c r="K4" s="54" t="s">
        <v>201</v>
      </c>
      <c r="L4" s="54" t="s">
        <v>202</v>
      </c>
      <c r="M4" s="54" t="s">
        <v>101</v>
      </c>
      <c r="N4" s="54" t="s">
        <v>59</v>
      </c>
      <c r="O4" s="54" t="s">
        <v>58</v>
      </c>
      <c r="P4" s="54" t="s">
        <v>203</v>
      </c>
      <c r="Q4" s="54" t="s">
        <v>204</v>
      </c>
      <c r="R4" s="54" t="s">
        <v>205</v>
      </c>
      <c r="S4" s="54" t="s">
        <v>206</v>
      </c>
      <c r="T4" s="54" t="s">
        <v>207</v>
      </c>
      <c r="U4" s="54" t="s">
        <v>208</v>
      </c>
      <c r="V4" s="54" t="s">
        <v>209</v>
      </c>
      <c r="W4" s="54" t="s">
        <v>207</v>
      </c>
      <c r="X4" s="54" t="s">
        <v>208</v>
      </c>
      <c r="Y4" s="54" t="s">
        <v>209</v>
      </c>
      <c r="Z4" s="54" t="s">
        <v>207</v>
      </c>
      <c r="AA4" s="54" t="s">
        <v>208</v>
      </c>
      <c r="AB4" s="54" t="s">
        <v>209</v>
      </c>
      <c r="AC4" s="54" t="s">
        <v>210</v>
      </c>
      <c r="AD4" s="54" t="s">
        <v>211</v>
      </c>
      <c r="AE4" s="54" t="s">
        <v>212</v>
      </c>
      <c r="AF4" s="54" t="s">
        <v>213</v>
      </c>
      <c r="AG4" s="54" t="s">
        <v>214</v>
      </c>
      <c r="AH4" s="54" t="s">
        <v>193</v>
      </c>
    </row>
    <row r="5" spans="1:34" ht="15" customHeight="1" x14ac:dyDescent="0.4">
      <c r="A5" s="55">
        <v>1</v>
      </c>
      <c r="B5" s="56" t="s">
        <v>215</v>
      </c>
      <c r="C5" s="57" t="s">
        <v>66</v>
      </c>
      <c r="D5" s="57" t="s">
        <v>50</v>
      </c>
      <c r="E5" s="57" t="s">
        <v>216</v>
      </c>
      <c r="F5" s="57" t="s">
        <v>217</v>
      </c>
      <c r="G5" s="57" t="s">
        <v>218</v>
      </c>
      <c r="H5" s="58">
        <v>4</v>
      </c>
      <c r="I5" s="58">
        <v>3</v>
      </c>
      <c r="J5" s="58">
        <v>4</v>
      </c>
      <c r="K5" s="58">
        <v>2</v>
      </c>
      <c r="L5" s="58">
        <v>2</v>
      </c>
      <c r="M5" s="58">
        <v>4</v>
      </c>
      <c r="N5" s="58">
        <v>3</v>
      </c>
      <c r="O5" s="58">
        <v>4</v>
      </c>
      <c r="P5" s="58">
        <v>2</v>
      </c>
      <c r="Q5" s="58">
        <v>3</v>
      </c>
      <c r="R5" s="58">
        <v>10</v>
      </c>
      <c r="S5" s="58">
        <v>18</v>
      </c>
      <c r="T5" s="59">
        <f>SUMPRODUCT($H5:$Q5,L3_Genome!$C$6:$L$6)/(SUM($H5:$Q5)*5)*100</f>
        <v>67.096774193548399</v>
      </c>
      <c r="U5" s="59">
        <f>SUMPRODUCT($H5:$Q5,L3_Genome!$C$7:$L$7)/(SUM($H5:$Q5)*5)*100</f>
        <v>71.612903225806463</v>
      </c>
      <c r="V5" s="59">
        <f>SUMPRODUCT($H5:$Q5,L3_Genome!$C$8:$L$8)/(SUM($H5:$Q5)*5)*100</f>
        <v>80</v>
      </c>
      <c r="W5" s="60">
        <f t="shared" ref="W5:W30" si="0">MAX(0.6,MIN(1.25,IF($I5&gt;4,1.15,1)*IF($P5=5,1.05,1)*IF($R5&gt;120,1.05,1)))</f>
        <v>1</v>
      </c>
      <c r="X5" s="60">
        <f t="shared" ref="X5:X30" si="1">MAX(0.6,MIN(1.25,IF($N5=5,0.9,1)*IF($P5=5,0.85,1)*IF($R5&gt;120,0.7,1)))</f>
        <v>1</v>
      </c>
      <c r="Y5" s="60">
        <f t="shared" ref="Y5:Y30" si="2">MAX(0.6,MIN(1.25,IF($S5&gt;18,1.15,1)*IF($N5=5,1.1,1)*IF($P5=5,1.1,1)*IF($O5=5,1.1,1)))</f>
        <v>1</v>
      </c>
      <c r="Z5" s="61">
        <f t="shared" ref="Z5:Z30" si="3">$E$2*(T5*W5)+$G$2*$J$2</f>
        <v>70.967741935483886</v>
      </c>
      <c r="AA5" s="62">
        <f t="shared" ref="AA5:AA30" si="4">$E$2*(U5*X5)+$G$2*$K$2</f>
        <v>76.154032258064518</v>
      </c>
      <c r="AB5" s="63">
        <f t="shared" ref="AB5:AB30" si="5">$E$2*(V5*Y5)+$G$2*$L$2</f>
        <v>65</v>
      </c>
      <c r="AC5" s="64">
        <f t="shared" ref="AC5:AC30" si="6">EXP(Z5/$C$2)/(EXP(Z5/$C$2)+EXP(AA5/$C$2)+EXP(AB5/$C$2))</f>
        <v>0.29528697817630545</v>
      </c>
      <c r="AD5" s="65">
        <f t="shared" ref="AD5:AD30" si="7">EXP(AA5/$C$2)/(EXP(Z5/$C$2)+EXP(AA5/$C$2)+EXP(AB5/$C$2))</f>
        <v>0.56466576016585235</v>
      </c>
      <c r="AE5" s="66">
        <f t="shared" ref="AE5:AE30" si="8">EXP(AB5/$C$2)/(EXP(Z5/$C$2)+EXP(AA5/$C$2)+EXP(AB5/$C$2))</f>
        <v>0.14004726165784212</v>
      </c>
      <c r="AF5" s="55" t="str">
        <f t="shared" ref="AF5:AF30" si="9">IF(AND(AC5&gt;=AD5,AC5&gt;=AE5),"Skin",IF(AD5&gt;=AE5,"Foam","Internal"))</f>
        <v>Foam</v>
      </c>
      <c r="AG5" s="67">
        <f t="shared" ref="AG5:AG30" si="10">MAX(AC5:AE5)</f>
        <v>0.56466576016585235</v>
      </c>
      <c r="AH5" s="67">
        <f t="shared" ref="AH5:AH30" si="11">MAX(AC5:AE5)-LARGE(AC5:AE5,2)</f>
        <v>0.2693787819895469</v>
      </c>
    </row>
    <row r="6" spans="1:34" ht="15" customHeight="1" x14ac:dyDescent="0.4">
      <c r="A6" s="55">
        <v>2</v>
      </c>
      <c r="B6" s="56" t="s">
        <v>219</v>
      </c>
      <c r="C6" s="57" t="s">
        <v>66</v>
      </c>
      <c r="D6" s="57" t="s">
        <v>50</v>
      </c>
      <c r="E6" s="57" t="s">
        <v>32</v>
      </c>
      <c r="F6" s="57" t="s">
        <v>50</v>
      </c>
      <c r="G6" s="57" t="s">
        <v>217</v>
      </c>
      <c r="H6" s="58">
        <v>5</v>
      </c>
      <c r="I6" s="58">
        <v>0</v>
      </c>
      <c r="J6" s="58">
        <v>4</v>
      </c>
      <c r="K6" s="58">
        <v>2</v>
      </c>
      <c r="L6" s="58">
        <v>2</v>
      </c>
      <c r="M6" s="58">
        <v>4</v>
      </c>
      <c r="N6" s="58">
        <v>3</v>
      </c>
      <c r="O6" s="58">
        <v>5</v>
      </c>
      <c r="P6" s="58">
        <v>2</v>
      </c>
      <c r="Q6" s="58">
        <v>3</v>
      </c>
      <c r="R6" s="58">
        <v>10</v>
      </c>
      <c r="S6" s="58">
        <v>20</v>
      </c>
      <c r="T6" s="59">
        <f>SUMPRODUCT($H6:$Q6,L3_Genome!$C$6:$L$6)/(SUM($H6:$Q6)*5)*100</f>
        <v>62.666666666666671</v>
      </c>
      <c r="U6" s="59">
        <f>SUMPRODUCT($H6:$Q6,L3_Genome!$C$7:$L$7)/(SUM($H6:$Q6)*5)*100</f>
        <v>74.666666666666671</v>
      </c>
      <c r="V6" s="59">
        <f>SUMPRODUCT($H6:$Q6,L3_Genome!$C$8:$L$8)/(SUM($H6:$Q6)*5)*100</f>
        <v>87.333333333333329</v>
      </c>
      <c r="W6" s="60">
        <f t="shared" si="0"/>
        <v>1</v>
      </c>
      <c r="X6" s="60">
        <f t="shared" si="1"/>
        <v>1</v>
      </c>
      <c r="Y6" s="60">
        <f t="shared" si="2"/>
        <v>1.25</v>
      </c>
      <c r="Z6" s="61">
        <f t="shared" si="3"/>
        <v>67.866666666666674</v>
      </c>
      <c r="AA6" s="62">
        <f t="shared" si="4"/>
        <v>78.291666666666671</v>
      </c>
      <c r="AB6" s="63">
        <f t="shared" si="5"/>
        <v>85.416666666666657</v>
      </c>
      <c r="AC6" s="64">
        <f t="shared" si="6"/>
        <v>7.3262412166217011E-2</v>
      </c>
      <c r="AD6" s="65">
        <f t="shared" si="7"/>
        <v>0.26966290606178772</v>
      </c>
      <c r="AE6" s="66">
        <f t="shared" si="8"/>
        <v>0.65707468177199513</v>
      </c>
      <c r="AF6" s="55" t="str">
        <f t="shared" si="9"/>
        <v>Internal</v>
      </c>
      <c r="AG6" s="67">
        <f t="shared" si="10"/>
        <v>0.65707468177199513</v>
      </c>
      <c r="AH6" s="67">
        <f t="shared" si="11"/>
        <v>0.38741177571020741</v>
      </c>
    </row>
    <row r="7" spans="1:34" ht="15" customHeight="1" x14ac:dyDescent="0.4">
      <c r="A7" s="55">
        <v>3</v>
      </c>
      <c r="B7" s="56" t="s">
        <v>220</v>
      </c>
      <c r="C7" s="57" t="s">
        <v>221</v>
      </c>
      <c r="D7" s="57" t="s">
        <v>50</v>
      </c>
      <c r="E7" s="57" t="s">
        <v>216</v>
      </c>
      <c r="F7" s="57" t="s">
        <v>217</v>
      </c>
      <c r="G7" s="57" t="s">
        <v>218</v>
      </c>
      <c r="H7" s="58">
        <v>5</v>
      </c>
      <c r="I7" s="58">
        <v>4</v>
      </c>
      <c r="J7" s="58">
        <v>3</v>
      </c>
      <c r="K7" s="58">
        <v>1</v>
      </c>
      <c r="L7" s="58">
        <v>2</v>
      </c>
      <c r="M7" s="58">
        <v>4</v>
      </c>
      <c r="N7" s="58">
        <v>2</v>
      </c>
      <c r="O7" s="58">
        <v>3</v>
      </c>
      <c r="P7" s="58">
        <v>2</v>
      </c>
      <c r="Q7" s="58">
        <v>3</v>
      </c>
      <c r="R7" s="58">
        <v>12</v>
      </c>
      <c r="S7" s="58">
        <v>22</v>
      </c>
      <c r="T7" s="59">
        <f>SUMPRODUCT($H7:$Q7,L3_Genome!$C$6:$L$6)/(SUM($H7:$Q7)*5)*100</f>
        <v>66.896551724137936</v>
      </c>
      <c r="U7" s="59">
        <f>SUMPRODUCT($H7:$Q7,L3_Genome!$C$7:$L$7)/(SUM($H7:$Q7)*5)*100</f>
        <v>68.965517241379317</v>
      </c>
      <c r="V7" s="59">
        <f>SUMPRODUCT($H7:$Q7,L3_Genome!$C$8:$L$8)/(SUM($H7:$Q7)*5)*100</f>
        <v>78.620689655172413</v>
      </c>
      <c r="W7" s="60">
        <f t="shared" si="0"/>
        <v>1</v>
      </c>
      <c r="X7" s="60">
        <f t="shared" si="1"/>
        <v>1</v>
      </c>
      <c r="Y7" s="60">
        <f t="shared" si="2"/>
        <v>1.1499999999999999</v>
      </c>
      <c r="Z7" s="61">
        <f t="shared" si="3"/>
        <v>70.827586206896555</v>
      </c>
      <c r="AA7" s="62">
        <f t="shared" si="4"/>
        <v>74.300862068965515</v>
      </c>
      <c r="AB7" s="63">
        <f t="shared" si="5"/>
        <v>72.289655172413788</v>
      </c>
      <c r="AC7" s="64">
        <f t="shared" si="6"/>
        <v>0.26708048988444572</v>
      </c>
      <c r="AD7" s="65">
        <f t="shared" si="7"/>
        <v>0.41228281415110396</v>
      </c>
      <c r="AE7" s="66">
        <f t="shared" si="8"/>
        <v>0.32063669596445027</v>
      </c>
      <c r="AF7" s="55" t="str">
        <f t="shared" si="9"/>
        <v>Foam</v>
      </c>
      <c r="AG7" s="67">
        <f t="shared" si="10"/>
        <v>0.41228281415110396</v>
      </c>
      <c r="AH7" s="67">
        <f t="shared" si="11"/>
        <v>9.1646118186653691E-2</v>
      </c>
    </row>
    <row r="8" spans="1:34" ht="15" customHeight="1" x14ac:dyDescent="0.4">
      <c r="A8" s="55">
        <v>4</v>
      </c>
      <c r="B8" s="56" t="s">
        <v>222</v>
      </c>
      <c r="C8" s="57" t="s">
        <v>67</v>
      </c>
      <c r="D8" s="57" t="s">
        <v>50</v>
      </c>
      <c r="E8" s="57" t="s">
        <v>32</v>
      </c>
      <c r="F8" s="57" t="s">
        <v>50</v>
      </c>
      <c r="G8" s="57" t="s">
        <v>218</v>
      </c>
      <c r="H8" s="58">
        <v>5</v>
      </c>
      <c r="I8" s="58">
        <v>1</v>
      </c>
      <c r="J8" s="58">
        <v>5</v>
      </c>
      <c r="K8" s="58">
        <v>5</v>
      </c>
      <c r="L8" s="58">
        <v>4</v>
      </c>
      <c r="M8" s="58">
        <v>4</v>
      </c>
      <c r="N8" s="58">
        <v>2</v>
      </c>
      <c r="O8" s="58">
        <v>5</v>
      </c>
      <c r="P8" s="58">
        <v>2</v>
      </c>
      <c r="Q8" s="58">
        <v>4</v>
      </c>
      <c r="R8" s="58">
        <v>8</v>
      </c>
      <c r="S8" s="58">
        <v>16</v>
      </c>
      <c r="T8" s="59">
        <f>SUMPRODUCT($H8:$Q8,L3_Genome!$C$6:$L$6)/(SUM($H8:$Q8)*5)*100</f>
        <v>67.027027027027032</v>
      </c>
      <c r="U8" s="59">
        <f>SUMPRODUCT($H8:$Q8,L3_Genome!$C$7:$L$7)/(SUM($H8:$Q8)*5)*100</f>
        <v>78.378378378378372</v>
      </c>
      <c r="V8" s="59">
        <f>SUMPRODUCT($H8:$Q8,L3_Genome!$C$8:$L$8)/(SUM($H8:$Q8)*5)*100</f>
        <v>80.540540540540533</v>
      </c>
      <c r="W8" s="60">
        <f t="shared" si="0"/>
        <v>1</v>
      </c>
      <c r="X8" s="60">
        <f t="shared" si="1"/>
        <v>1</v>
      </c>
      <c r="Y8" s="60">
        <f t="shared" si="2"/>
        <v>1.1000000000000001</v>
      </c>
      <c r="Z8" s="61">
        <f t="shared" si="3"/>
        <v>70.918918918918919</v>
      </c>
      <c r="AA8" s="62">
        <f t="shared" si="4"/>
        <v>80.889864864864862</v>
      </c>
      <c r="AB8" s="63">
        <f t="shared" si="5"/>
        <v>71.016216216216222</v>
      </c>
      <c r="AC8" s="64">
        <f t="shared" si="6"/>
        <v>0.18215180798236358</v>
      </c>
      <c r="AD8" s="65">
        <f t="shared" si="7"/>
        <v>0.63346749764392918</v>
      </c>
      <c r="AE8" s="66">
        <f t="shared" si="8"/>
        <v>0.18438069437370713</v>
      </c>
      <c r="AF8" s="55" t="str">
        <f t="shared" si="9"/>
        <v>Foam</v>
      </c>
      <c r="AG8" s="67">
        <f t="shared" si="10"/>
        <v>0.63346749764392918</v>
      </c>
      <c r="AH8" s="67">
        <f t="shared" si="11"/>
        <v>0.44908680327022205</v>
      </c>
    </row>
    <row r="9" spans="1:34" ht="15" customHeight="1" x14ac:dyDescent="0.4">
      <c r="A9" s="55">
        <v>5</v>
      </c>
      <c r="B9" s="56" t="s">
        <v>223</v>
      </c>
      <c r="C9" s="57" t="s">
        <v>72</v>
      </c>
      <c r="D9" s="57" t="s">
        <v>50</v>
      </c>
      <c r="E9" s="57" t="s">
        <v>32</v>
      </c>
      <c r="F9" s="57" t="s">
        <v>50</v>
      </c>
      <c r="G9" s="57" t="s">
        <v>217</v>
      </c>
      <c r="H9" s="58">
        <v>5</v>
      </c>
      <c r="I9" s="58">
        <v>2</v>
      </c>
      <c r="J9" s="58">
        <v>4</v>
      </c>
      <c r="K9" s="58">
        <v>2</v>
      </c>
      <c r="L9" s="58">
        <v>3</v>
      </c>
      <c r="M9" s="58">
        <v>5</v>
      </c>
      <c r="N9" s="58">
        <v>4</v>
      </c>
      <c r="O9" s="58">
        <v>4</v>
      </c>
      <c r="P9" s="58">
        <v>2</v>
      </c>
      <c r="Q9" s="58">
        <v>3</v>
      </c>
      <c r="R9" s="58">
        <v>12</v>
      </c>
      <c r="S9" s="58">
        <v>24</v>
      </c>
      <c r="T9" s="59">
        <f>SUMPRODUCT($H9:$Q9,L3_Genome!$C$6:$L$6)/(SUM($H9:$Q9)*5)*100</f>
        <v>65.882352941176464</v>
      </c>
      <c r="U9" s="59">
        <f>SUMPRODUCT($H9:$Q9,L3_Genome!$C$7:$L$7)/(SUM($H9:$Q9)*5)*100</f>
        <v>72.35294117647058</v>
      </c>
      <c r="V9" s="59">
        <f>SUMPRODUCT($H9:$Q9,L3_Genome!$C$8:$L$8)/(SUM($H9:$Q9)*5)*100</f>
        <v>82.941176470588246</v>
      </c>
      <c r="W9" s="60">
        <f t="shared" si="0"/>
        <v>1</v>
      </c>
      <c r="X9" s="60">
        <f t="shared" si="1"/>
        <v>1</v>
      </c>
      <c r="Y9" s="60">
        <f t="shared" si="2"/>
        <v>1.1499999999999999</v>
      </c>
      <c r="Z9" s="61">
        <f t="shared" si="3"/>
        <v>70.117647058823522</v>
      </c>
      <c r="AA9" s="62">
        <f t="shared" si="4"/>
        <v>76.672058823529412</v>
      </c>
      <c r="AB9" s="63">
        <f t="shared" si="5"/>
        <v>75.767647058823528</v>
      </c>
      <c r="AC9" s="64">
        <f t="shared" si="6"/>
        <v>0.18884698218370979</v>
      </c>
      <c r="AD9" s="65">
        <f t="shared" si="7"/>
        <v>0.42847763357651358</v>
      </c>
      <c r="AE9" s="66">
        <f t="shared" si="8"/>
        <v>0.38267538423977665</v>
      </c>
      <c r="AF9" s="55" t="str">
        <f t="shared" si="9"/>
        <v>Foam</v>
      </c>
      <c r="AG9" s="67">
        <f t="shared" si="10"/>
        <v>0.42847763357651358</v>
      </c>
      <c r="AH9" s="67">
        <f t="shared" si="11"/>
        <v>4.5802249336736933E-2</v>
      </c>
    </row>
    <row r="10" spans="1:34" ht="15" customHeight="1" x14ac:dyDescent="0.4">
      <c r="A10" s="55">
        <v>6</v>
      </c>
      <c r="B10" s="56" t="s">
        <v>224</v>
      </c>
      <c r="C10" s="57" t="s">
        <v>71</v>
      </c>
      <c r="D10" s="57" t="s">
        <v>50</v>
      </c>
      <c r="E10" s="57" t="s">
        <v>32</v>
      </c>
      <c r="F10" s="57" t="s">
        <v>50</v>
      </c>
      <c r="G10" s="57" t="s">
        <v>217</v>
      </c>
      <c r="H10" s="58">
        <v>5</v>
      </c>
      <c r="I10" s="58">
        <v>1</v>
      </c>
      <c r="J10" s="58">
        <v>2</v>
      </c>
      <c r="K10" s="58">
        <v>2</v>
      </c>
      <c r="L10" s="58">
        <v>3</v>
      </c>
      <c r="M10" s="58">
        <v>5</v>
      </c>
      <c r="N10" s="58">
        <v>5</v>
      </c>
      <c r="O10" s="58">
        <v>5</v>
      </c>
      <c r="P10" s="58">
        <v>2</v>
      </c>
      <c r="Q10" s="58">
        <v>4</v>
      </c>
      <c r="R10" s="58">
        <v>10</v>
      </c>
      <c r="S10" s="58">
        <v>14</v>
      </c>
      <c r="T10" s="59">
        <f>SUMPRODUCT($H10:$Q10,L3_Genome!$C$6:$L$6)/(SUM($H10:$Q10)*5)*100</f>
        <v>62.941176470588232</v>
      </c>
      <c r="U10" s="59">
        <f>SUMPRODUCT($H10:$Q10,L3_Genome!$C$7:$L$7)/(SUM($H10:$Q10)*5)*100</f>
        <v>70.588235294117652</v>
      </c>
      <c r="V10" s="59">
        <f>SUMPRODUCT($H10:$Q10,L3_Genome!$C$8:$L$8)/(SUM($H10:$Q10)*5)*100</f>
        <v>87.058823529411768</v>
      </c>
      <c r="W10" s="60">
        <f t="shared" si="0"/>
        <v>1</v>
      </c>
      <c r="X10" s="60">
        <f t="shared" si="1"/>
        <v>0.9</v>
      </c>
      <c r="Y10" s="60">
        <f t="shared" si="2"/>
        <v>1.2100000000000002</v>
      </c>
      <c r="Z10" s="61">
        <f t="shared" si="3"/>
        <v>68.058823529411768</v>
      </c>
      <c r="AA10" s="62">
        <f t="shared" si="4"/>
        <v>70.495588235294122</v>
      </c>
      <c r="AB10" s="63">
        <f t="shared" si="5"/>
        <v>82.738823529411775</v>
      </c>
      <c r="AC10" s="64">
        <f t="shared" si="6"/>
        <v>0.11599299026367058</v>
      </c>
      <c r="AD10" s="65">
        <f t="shared" si="7"/>
        <v>0.15729536580421388</v>
      </c>
      <c r="AE10" s="66">
        <f t="shared" si="8"/>
        <v>0.72671164393211551</v>
      </c>
      <c r="AF10" s="55" t="str">
        <f t="shared" si="9"/>
        <v>Internal</v>
      </c>
      <c r="AG10" s="67">
        <f t="shared" si="10"/>
        <v>0.72671164393211551</v>
      </c>
      <c r="AH10" s="67">
        <f t="shared" si="11"/>
        <v>0.56941627812790163</v>
      </c>
    </row>
    <row r="11" spans="1:34" ht="15" customHeight="1" x14ac:dyDescent="0.4">
      <c r="A11" s="55">
        <v>7</v>
      </c>
      <c r="B11" s="56" t="s">
        <v>225</v>
      </c>
      <c r="C11" s="57" t="s">
        <v>64</v>
      </c>
      <c r="D11" s="57" t="s">
        <v>226</v>
      </c>
      <c r="E11" s="57" t="s">
        <v>216</v>
      </c>
      <c r="F11" s="57" t="s">
        <v>217</v>
      </c>
      <c r="G11" s="57" t="s">
        <v>218</v>
      </c>
      <c r="H11" s="58">
        <v>4</v>
      </c>
      <c r="I11" s="58">
        <v>5</v>
      </c>
      <c r="J11" s="58">
        <v>5</v>
      </c>
      <c r="K11" s="58">
        <v>5</v>
      </c>
      <c r="L11" s="58">
        <v>4</v>
      </c>
      <c r="M11" s="58">
        <v>4</v>
      </c>
      <c r="N11" s="58">
        <v>3</v>
      </c>
      <c r="O11" s="58">
        <v>3</v>
      </c>
      <c r="P11" s="58">
        <v>4</v>
      </c>
      <c r="Q11" s="58">
        <v>3</v>
      </c>
      <c r="R11" s="58">
        <v>45</v>
      </c>
      <c r="S11" s="58">
        <v>12</v>
      </c>
      <c r="T11" s="59">
        <f>SUMPRODUCT($H11:$Q11,L3_Genome!$C$6:$L$6)/(SUM($H11:$Q11)*5)*100</f>
        <v>72.5</v>
      </c>
      <c r="U11" s="59">
        <f>SUMPRODUCT($H11:$Q11,L3_Genome!$C$7:$L$7)/(SUM($H11:$Q11)*5)*100</f>
        <v>73.5</v>
      </c>
      <c r="V11" s="59">
        <f>SUMPRODUCT($H11:$Q11,L3_Genome!$C$8:$L$8)/(SUM($H11:$Q11)*5)*100</f>
        <v>74.5</v>
      </c>
      <c r="W11" s="60">
        <f t="shared" si="0"/>
        <v>1.1499999999999999</v>
      </c>
      <c r="X11" s="60">
        <f t="shared" si="1"/>
        <v>1</v>
      </c>
      <c r="Y11" s="60">
        <f t="shared" si="2"/>
        <v>1</v>
      </c>
      <c r="Z11" s="61">
        <f t="shared" si="3"/>
        <v>82.362499999999997</v>
      </c>
      <c r="AA11" s="62">
        <f t="shared" si="4"/>
        <v>77.474999999999994</v>
      </c>
      <c r="AB11" s="63">
        <f t="shared" si="5"/>
        <v>61.15</v>
      </c>
      <c r="AC11" s="64">
        <f t="shared" si="6"/>
        <v>0.6198157744460141</v>
      </c>
      <c r="AD11" s="65">
        <f t="shared" si="7"/>
        <v>0.33646185881325619</v>
      </c>
      <c r="AE11" s="66">
        <f t="shared" si="8"/>
        <v>4.3722366740729622E-2</v>
      </c>
      <c r="AF11" s="55" t="str">
        <f t="shared" si="9"/>
        <v>Skin</v>
      </c>
      <c r="AG11" s="67">
        <f t="shared" si="10"/>
        <v>0.6198157744460141</v>
      </c>
      <c r="AH11" s="67">
        <f t="shared" si="11"/>
        <v>0.28335391563275791</v>
      </c>
    </row>
    <row r="12" spans="1:34" ht="15" customHeight="1" x14ac:dyDescent="0.4">
      <c r="A12" s="55">
        <v>8</v>
      </c>
      <c r="B12" s="56" t="s">
        <v>227</v>
      </c>
      <c r="C12" s="57" t="s">
        <v>64</v>
      </c>
      <c r="D12" s="57" t="s">
        <v>226</v>
      </c>
      <c r="E12" s="57" t="s">
        <v>32</v>
      </c>
      <c r="F12" s="57" t="s">
        <v>50</v>
      </c>
      <c r="G12" s="57" t="s">
        <v>217</v>
      </c>
      <c r="H12" s="58">
        <v>3</v>
      </c>
      <c r="I12" s="58">
        <v>0</v>
      </c>
      <c r="J12" s="58">
        <v>4</v>
      </c>
      <c r="K12" s="58">
        <v>4</v>
      </c>
      <c r="L12" s="58">
        <v>3</v>
      </c>
      <c r="M12" s="58">
        <v>5</v>
      </c>
      <c r="N12" s="58">
        <v>4</v>
      </c>
      <c r="O12" s="58">
        <v>4</v>
      </c>
      <c r="P12" s="58">
        <v>5</v>
      </c>
      <c r="Q12" s="58">
        <v>3</v>
      </c>
      <c r="R12" s="58">
        <v>45</v>
      </c>
      <c r="S12" s="58">
        <v>10</v>
      </c>
      <c r="T12" s="59">
        <f>SUMPRODUCT($H12:$Q12,L3_Genome!$C$6:$L$6)/(SUM($H12:$Q12)*5)*100</f>
        <v>67.428571428571431</v>
      </c>
      <c r="U12" s="59">
        <f>SUMPRODUCT($H12:$Q12,L3_Genome!$C$7:$L$7)/(SUM($H12:$Q12)*5)*100</f>
        <v>75.428571428571431</v>
      </c>
      <c r="V12" s="59">
        <f>SUMPRODUCT($H12:$Q12,L3_Genome!$C$8:$L$8)/(SUM($H12:$Q12)*5)*100</f>
        <v>85.714285714285708</v>
      </c>
      <c r="W12" s="60">
        <f t="shared" si="0"/>
        <v>1.05</v>
      </c>
      <c r="X12" s="60">
        <f t="shared" si="1"/>
        <v>0.85</v>
      </c>
      <c r="Y12" s="60">
        <f t="shared" si="2"/>
        <v>1.1000000000000001</v>
      </c>
      <c r="Z12" s="61">
        <f t="shared" si="3"/>
        <v>73.56</v>
      </c>
      <c r="AA12" s="62">
        <f t="shared" si="4"/>
        <v>70.905000000000001</v>
      </c>
      <c r="AB12" s="63">
        <f t="shared" si="5"/>
        <v>75</v>
      </c>
      <c r="AC12" s="64">
        <f t="shared" si="6"/>
        <v>0.34307737373181346</v>
      </c>
      <c r="AD12" s="65">
        <f t="shared" si="7"/>
        <v>0.24618443754222913</v>
      </c>
      <c r="AE12" s="66">
        <f t="shared" si="8"/>
        <v>0.41073818872595741</v>
      </c>
      <c r="AF12" s="55" t="str">
        <f t="shared" si="9"/>
        <v>Internal</v>
      </c>
      <c r="AG12" s="67">
        <f t="shared" si="10"/>
        <v>0.41073818872595741</v>
      </c>
      <c r="AH12" s="67">
        <f t="shared" si="11"/>
        <v>6.7660814994143947E-2</v>
      </c>
    </row>
    <row r="13" spans="1:34" ht="15" customHeight="1" x14ac:dyDescent="0.4">
      <c r="A13" s="55">
        <v>9</v>
      </c>
      <c r="B13" s="56" t="s">
        <v>228</v>
      </c>
      <c r="C13" s="57" t="s">
        <v>64</v>
      </c>
      <c r="D13" s="57" t="s">
        <v>226</v>
      </c>
      <c r="E13" s="57" t="s">
        <v>216</v>
      </c>
      <c r="F13" s="57" t="s">
        <v>218</v>
      </c>
      <c r="G13" s="57" t="s">
        <v>50</v>
      </c>
      <c r="H13" s="58">
        <v>4</v>
      </c>
      <c r="I13" s="58">
        <v>3</v>
      </c>
      <c r="J13" s="58">
        <v>5</v>
      </c>
      <c r="K13" s="58">
        <v>5</v>
      </c>
      <c r="L13" s="58">
        <v>4</v>
      </c>
      <c r="M13" s="58">
        <v>4</v>
      </c>
      <c r="N13" s="58">
        <v>3</v>
      </c>
      <c r="O13" s="58">
        <v>3</v>
      </c>
      <c r="P13" s="58">
        <v>3</v>
      </c>
      <c r="Q13" s="58">
        <v>3</v>
      </c>
      <c r="R13" s="58">
        <v>45</v>
      </c>
      <c r="S13" s="58">
        <v>12</v>
      </c>
      <c r="T13" s="59">
        <f>SUMPRODUCT($H13:$Q13,L3_Genome!$C$6:$L$6)/(SUM($H13:$Q13)*5)*100</f>
        <v>70.810810810810807</v>
      </c>
      <c r="U13" s="59">
        <f>SUMPRODUCT($H13:$Q13,L3_Genome!$C$7:$L$7)/(SUM($H13:$Q13)*5)*100</f>
        <v>75.675675675675677</v>
      </c>
      <c r="V13" s="59">
        <f>SUMPRODUCT($H13:$Q13,L3_Genome!$C$8:$L$8)/(SUM($H13:$Q13)*5)*100</f>
        <v>76.756756756756758</v>
      </c>
      <c r="W13" s="60">
        <f t="shared" si="0"/>
        <v>1</v>
      </c>
      <c r="X13" s="60">
        <f t="shared" si="1"/>
        <v>1</v>
      </c>
      <c r="Y13" s="60">
        <f t="shared" si="2"/>
        <v>1</v>
      </c>
      <c r="Z13" s="61">
        <f t="shared" si="3"/>
        <v>73.567567567567565</v>
      </c>
      <c r="AA13" s="62">
        <f t="shared" si="4"/>
        <v>78.997972972972974</v>
      </c>
      <c r="AB13" s="63">
        <f t="shared" si="5"/>
        <v>62.729729729729726</v>
      </c>
      <c r="AC13" s="64">
        <f t="shared" si="6"/>
        <v>0.30964268973139358</v>
      </c>
      <c r="AD13" s="65">
        <f t="shared" si="7"/>
        <v>0.61046422639790987</v>
      </c>
      <c r="AE13" s="66">
        <f t="shared" si="8"/>
        <v>7.9893083870696519E-2</v>
      </c>
      <c r="AF13" s="55" t="str">
        <f t="shared" si="9"/>
        <v>Foam</v>
      </c>
      <c r="AG13" s="67">
        <f t="shared" si="10"/>
        <v>0.61046422639790987</v>
      </c>
      <c r="AH13" s="67">
        <f t="shared" si="11"/>
        <v>0.30082153666651629</v>
      </c>
    </row>
    <row r="14" spans="1:34" ht="15" customHeight="1" x14ac:dyDescent="0.4">
      <c r="A14" s="55">
        <v>10</v>
      </c>
      <c r="B14" s="56" t="s">
        <v>229</v>
      </c>
      <c r="C14" s="57" t="s">
        <v>65</v>
      </c>
      <c r="D14" s="57" t="s">
        <v>226</v>
      </c>
      <c r="E14" s="57" t="s">
        <v>216</v>
      </c>
      <c r="F14" s="57" t="s">
        <v>218</v>
      </c>
      <c r="G14" s="57" t="s">
        <v>50</v>
      </c>
      <c r="H14" s="58">
        <v>2</v>
      </c>
      <c r="I14" s="58">
        <v>3</v>
      </c>
      <c r="J14" s="58">
        <v>3</v>
      </c>
      <c r="K14" s="58">
        <v>5</v>
      </c>
      <c r="L14" s="58">
        <v>5</v>
      </c>
      <c r="M14" s="58">
        <v>5</v>
      </c>
      <c r="N14" s="58">
        <v>3</v>
      </c>
      <c r="O14" s="58">
        <v>2</v>
      </c>
      <c r="P14" s="58">
        <v>3</v>
      </c>
      <c r="Q14" s="58">
        <v>3</v>
      </c>
      <c r="R14" s="58">
        <v>50</v>
      </c>
      <c r="S14" s="58">
        <v>9</v>
      </c>
      <c r="T14" s="59">
        <f>SUMPRODUCT($H14:$Q14,L3_Genome!$C$6:$L$6)/(SUM($H14:$Q14)*5)*100</f>
        <v>72.941176470588232</v>
      </c>
      <c r="U14" s="59">
        <f>SUMPRODUCT($H14:$Q14,L3_Genome!$C$7:$L$7)/(SUM($H14:$Q14)*5)*100</f>
        <v>75.882352941176464</v>
      </c>
      <c r="V14" s="59">
        <f>SUMPRODUCT($H14:$Q14,L3_Genome!$C$8:$L$8)/(SUM($H14:$Q14)*5)*100</f>
        <v>75.882352941176464</v>
      </c>
      <c r="W14" s="60">
        <f t="shared" si="0"/>
        <v>1</v>
      </c>
      <c r="X14" s="60">
        <f t="shared" si="1"/>
        <v>1</v>
      </c>
      <c r="Y14" s="60">
        <f t="shared" si="2"/>
        <v>1</v>
      </c>
      <c r="Z14" s="61">
        <f t="shared" si="3"/>
        <v>75.058823529411768</v>
      </c>
      <c r="AA14" s="62">
        <f t="shared" si="4"/>
        <v>79.142647058823528</v>
      </c>
      <c r="AB14" s="63">
        <f t="shared" si="5"/>
        <v>62.117647058823522</v>
      </c>
      <c r="AC14" s="64">
        <f t="shared" si="6"/>
        <v>0.34910689181036014</v>
      </c>
      <c r="AD14" s="65">
        <f t="shared" si="7"/>
        <v>0.58164255753387817</v>
      </c>
      <c r="AE14" s="66">
        <f t="shared" si="8"/>
        <v>6.9250550655761772E-2</v>
      </c>
      <c r="AF14" s="55" t="str">
        <f t="shared" si="9"/>
        <v>Foam</v>
      </c>
      <c r="AG14" s="67">
        <f t="shared" si="10"/>
        <v>0.58164255753387817</v>
      </c>
      <c r="AH14" s="67">
        <f t="shared" si="11"/>
        <v>0.23253566572351803</v>
      </c>
    </row>
    <row r="15" spans="1:34" ht="15" customHeight="1" x14ac:dyDescent="0.4">
      <c r="A15" s="55">
        <v>11</v>
      </c>
      <c r="B15" s="56" t="s">
        <v>230</v>
      </c>
      <c r="C15" s="57" t="s">
        <v>69</v>
      </c>
      <c r="D15" s="57" t="s">
        <v>226</v>
      </c>
      <c r="E15" s="57" t="s">
        <v>231</v>
      </c>
      <c r="F15" s="57" t="s">
        <v>218</v>
      </c>
      <c r="G15" s="57" t="s">
        <v>217</v>
      </c>
      <c r="H15" s="58">
        <v>4</v>
      </c>
      <c r="I15" s="58">
        <v>2</v>
      </c>
      <c r="J15" s="58">
        <v>5</v>
      </c>
      <c r="K15" s="58">
        <v>4</v>
      </c>
      <c r="L15" s="58">
        <v>3</v>
      </c>
      <c r="M15" s="58">
        <v>5</v>
      </c>
      <c r="N15" s="58">
        <v>5</v>
      </c>
      <c r="O15" s="58">
        <v>5</v>
      </c>
      <c r="P15" s="58">
        <v>3</v>
      </c>
      <c r="Q15" s="58">
        <v>3</v>
      </c>
      <c r="R15" s="58">
        <v>40</v>
      </c>
      <c r="S15" s="58">
        <v>12</v>
      </c>
      <c r="T15" s="59">
        <f>SUMPRODUCT($H15:$Q15,L3_Genome!$C$6:$L$6)/(SUM($H15:$Q15)*5)*100</f>
        <v>67.692307692307693</v>
      </c>
      <c r="U15" s="59">
        <f>SUMPRODUCT($H15:$Q15,L3_Genome!$C$7:$L$7)/(SUM($H15:$Q15)*5)*100</f>
        <v>73.846153846153854</v>
      </c>
      <c r="V15" s="59">
        <f>SUMPRODUCT($H15:$Q15,L3_Genome!$C$8:$L$8)/(SUM($H15:$Q15)*5)*100</f>
        <v>82.051282051282044</v>
      </c>
      <c r="W15" s="60">
        <f t="shared" si="0"/>
        <v>1</v>
      </c>
      <c r="X15" s="60">
        <f t="shared" si="1"/>
        <v>0.9</v>
      </c>
      <c r="Y15" s="60">
        <f t="shared" si="2"/>
        <v>1.2100000000000002</v>
      </c>
      <c r="Z15" s="61">
        <f t="shared" si="3"/>
        <v>71.384615384615387</v>
      </c>
      <c r="AA15" s="62">
        <f t="shared" si="4"/>
        <v>72.54807692307692</v>
      </c>
      <c r="AB15" s="63">
        <f t="shared" si="5"/>
        <v>78.497435897435892</v>
      </c>
      <c r="AC15" s="64">
        <f t="shared" si="6"/>
        <v>0.21788936406114995</v>
      </c>
      <c r="AD15" s="65">
        <f t="shared" si="7"/>
        <v>0.25199774069273939</v>
      </c>
      <c r="AE15" s="66">
        <f t="shared" si="8"/>
        <v>0.5301128952461106</v>
      </c>
      <c r="AF15" s="55" t="str">
        <f t="shared" si="9"/>
        <v>Internal</v>
      </c>
      <c r="AG15" s="67">
        <f t="shared" si="10"/>
        <v>0.5301128952461106</v>
      </c>
      <c r="AH15" s="67">
        <f t="shared" si="11"/>
        <v>0.27811515455337121</v>
      </c>
    </row>
    <row r="16" spans="1:34" ht="15" customHeight="1" x14ac:dyDescent="0.4">
      <c r="A16" s="55">
        <v>12</v>
      </c>
      <c r="B16" s="56" t="s">
        <v>232</v>
      </c>
      <c r="C16" s="57" t="s">
        <v>64</v>
      </c>
      <c r="D16" s="57" t="s">
        <v>217</v>
      </c>
      <c r="E16" s="57" t="s">
        <v>216</v>
      </c>
      <c r="F16" s="57" t="s">
        <v>217</v>
      </c>
      <c r="G16" s="57" t="s">
        <v>218</v>
      </c>
      <c r="H16" s="58">
        <v>4</v>
      </c>
      <c r="I16" s="58">
        <v>5</v>
      </c>
      <c r="J16" s="58">
        <v>5</v>
      </c>
      <c r="K16" s="58">
        <v>5</v>
      </c>
      <c r="L16" s="58">
        <v>4</v>
      </c>
      <c r="M16" s="58">
        <v>4</v>
      </c>
      <c r="N16" s="58">
        <v>3</v>
      </c>
      <c r="O16" s="58">
        <v>3</v>
      </c>
      <c r="P16" s="58">
        <v>5</v>
      </c>
      <c r="Q16" s="58">
        <v>3</v>
      </c>
      <c r="R16" s="58">
        <v>90</v>
      </c>
      <c r="S16" s="58">
        <v>12</v>
      </c>
      <c r="T16" s="59">
        <f>SUMPRODUCT($H16:$Q16,L3_Genome!$C$6:$L$6)/(SUM($H16:$Q16)*5)*100</f>
        <v>72.682926829268297</v>
      </c>
      <c r="U16" s="59">
        <f>SUMPRODUCT($H16:$Q16,L3_Genome!$C$7:$L$7)/(SUM($H16:$Q16)*5)*100</f>
        <v>73.170731707317074</v>
      </c>
      <c r="V16" s="59">
        <f>SUMPRODUCT($H16:$Q16,L3_Genome!$C$8:$L$8)/(SUM($H16:$Q16)*5)*100</f>
        <v>75.121951219512198</v>
      </c>
      <c r="W16" s="60">
        <f t="shared" si="0"/>
        <v>1.2075</v>
      </c>
      <c r="X16" s="60">
        <f t="shared" si="1"/>
        <v>0.85</v>
      </c>
      <c r="Y16" s="60">
        <f t="shared" si="2"/>
        <v>1.1000000000000001</v>
      </c>
      <c r="Z16" s="61">
        <f t="shared" si="3"/>
        <v>85.435243902439026</v>
      </c>
      <c r="AA16" s="62">
        <f t="shared" si="4"/>
        <v>69.561585365853659</v>
      </c>
      <c r="AB16" s="63">
        <f t="shared" si="5"/>
        <v>66.84390243902439</v>
      </c>
      <c r="AC16" s="64">
        <f t="shared" si="6"/>
        <v>0.80946825918373599</v>
      </c>
      <c r="AD16" s="65">
        <f t="shared" si="7"/>
        <v>0.11129343200209302</v>
      </c>
      <c r="AE16" s="66">
        <f t="shared" si="8"/>
        <v>7.9238308814170891E-2</v>
      </c>
      <c r="AF16" s="55" t="str">
        <f t="shared" si="9"/>
        <v>Skin</v>
      </c>
      <c r="AG16" s="67">
        <f t="shared" si="10"/>
        <v>0.80946825918373599</v>
      </c>
      <c r="AH16" s="67">
        <f t="shared" si="11"/>
        <v>0.69817482718164303</v>
      </c>
    </row>
    <row r="17" spans="1:34" ht="15" customHeight="1" x14ac:dyDescent="0.4">
      <c r="A17" s="55">
        <v>13</v>
      </c>
      <c r="B17" s="56" t="s">
        <v>233</v>
      </c>
      <c r="C17" s="57" t="s">
        <v>64</v>
      </c>
      <c r="D17" s="57" t="s">
        <v>217</v>
      </c>
      <c r="E17" s="57" t="s">
        <v>32</v>
      </c>
      <c r="F17" s="57" t="s">
        <v>50</v>
      </c>
      <c r="G17" s="57" t="s">
        <v>217</v>
      </c>
      <c r="H17" s="58">
        <v>3</v>
      </c>
      <c r="I17" s="58">
        <v>0</v>
      </c>
      <c r="J17" s="58">
        <v>4</v>
      </c>
      <c r="K17" s="58">
        <v>4</v>
      </c>
      <c r="L17" s="58">
        <v>3</v>
      </c>
      <c r="M17" s="58">
        <v>5</v>
      </c>
      <c r="N17" s="58">
        <v>4</v>
      </c>
      <c r="O17" s="58">
        <v>4</v>
      </c>
      <c r="P17" s="58">
        <v>5</v>
      </c>
      <c r="Q17" s="58">
        <v>3</v>
      </c>
      <c r="R17" s="58">
        <v>90</v>
      </c>
      <c r="S17" s="58">
        <v>10</v>
      </c>
      <c r="T17" s="59">
        <f>SUMPRODUCT($H17:$Q17,L3_Genome!$C$6:$L$6)/(SUM($H17:$Q17)*5)*100</f>
        <v>67.428571428571431</v>
      </c>
      <c r="U17" s="59">
        <f>SUMPRODUCT($H17:$Q17,L3_Genome!$C$7:$L$7)/(SUM($H17:$Q17)*5)*100</f>
        <v>75.428571428571431</v>
      </c>
      <c r="V17" s="59">
        <f>SUMPRODUCT($H17:$Q17,L3_Genome!$C$8:$L$8)/(SUM($H17:$Q17)*5)*100</f>
        <v>85.714285714285708</v>
      </c>
      <c r="W17" s="60">
        <f t="shared" si="0"/>
        <v>1.05</v>
      </c>
      <c r="X17" s="60">
        <f t="shared" si="1"/>
        <v>0.85</v>
      </c>
      <c r="Y17" s="60">
        <f t="shared" si="2"/>
        <v>1.1000000000000001</v>
      </c>
      <c r="Z17" s="61">
        <f t="shared" si="3"/>
        <v>73.56</v>
      </c>
      <c r="AA17" s="62">
        <f t="shared" si="4"/>
        <v>70.905000000000001</v>
      </c>
      <c r="AB17" s="63">
        <f t="shared" si="5"/>
        <v>75</v>
      </c>
      <c r="AC17" s="64">
        <f t="shared" si="6"/>
        <v>0.34307737373181346</v>
      </c>
      <c r="AD17" s="65">
        <f t="shared" si="7"/>
        <v>0.24618443754222913</v>
      </c>
      <c r="AE17" s="66">
        <f t="shared" si="8"/>
        <v>0.41073818872595741</v>
      </c>
      <c r="AF17" s="55" t="str">
        <f t="shared" si="9"/>
        <v>Internal</v>
      </c>
      <c r="AG17" s="67">
        <f t="shared" si="10"/>
        <v>0.41073818872595741</v>
      </c>
      <c r="AH17" s="67">
        <f t="shared" si="11"/>
        <v>6.7660814994143947E-2</v>
      </c>
    </row>
    <row r="18" spans="1:34" ht="15" customHeight="1" x14ac:dyDescent="0.4">
      <c r="A18" s="55">
        <v>14</v>
      </c>
      <c r="B18" s="56" t="s">
        <v>234</v>
      </c>
      <c r="C18" s="57" t="s">
        <v>63</v>
      </c>
      <c r="D18" s="57" t="s">
        <v>217</v>
      </c>
      <c r="E18" s="57" t="s">
        <v>216</v>
      </c>
      <c r="F18" s="57" t="s">
        <v>218</v>
      </c>
      <c r="G18" s="57" t="s">
        <v>218</v>
      </c>
      <c r="H18" s="58">
        <v>2</v>
      </c>
      <c r="I18" s="58">
        <v>3</v>
      </c>
      <c r="J18" s="58">
        <v>2</v>
      </c>
      <c r="K18" s="58">
        <v>5</v>
      </c>
      <c r="L18" s="58">
        <v>5</v>
      </c>
      <c r="M18" s="58">
        <v>5</v>
      </c>
      <c r="N18" s="58">
        <v>2</v>
      </c>
      <c r="O18" s="58">
        <v>2</v>
      </c>
      <c r="P18" s="58">
        <v>4</v>
      </c>
      <c r="Q18" s="58">
        <v>4</v>
      </c>
      <c r="R18" s="58">
        <v>90</v>
      </c>
      <c r="S18" s="58">
        <v>8</v>
      </c>
      <c r="T18" s="59">
        <f>SUMPRODUCT($H18:$Q18,L3_Genome!$C$6:$L$6)/(SUM($H18:$Q18)*5)*100</f>
        <v>72.35294117647058</v>
      </c>
      <c r="U18" s="59">
        <f>SUMPRODUCT($H18:$Q18,L3_Genome!$C$7:$L$7)/(SUM($H18:$Q18)*5)*100</f>
        <v>75.294117647058826</v>
      </c>
      <c r="V18" s="59">
        <f>SUMPRODUCT($H18:$Q18,L3_Genome!$C$8:$L$8)/(SUM($H18:$Q18)*5)*100</f>
        <v>76.470588235294116</v>
      </c>
      <c r="W18" s="60">
        <f t="shared" si="0"/>
        <v>1</v>
      </c>
      <c r="X18" s="60">
        <f t="shared" si="1"/>
        <v>1</v>
      </c>
      <c r="Y18" s="60">
        <f t="shared" si="2"/>
        <v>1</v>
      </c>
      <c r="Z18" s="61">
        <f t="shared" si="3"/>
        <v>74.647058823529406</v>
      </c>
      <c r="AA18" s="62">
        <f t="shared" si="4"/>
        <v>78.73088235294118</v>
      </c>
      <c r="AB18" s="63">
        <f t="shared" si="5"/>
        <v>62.529411764705877</v>
      </c>
      <c r="AC18" s="64">
        <f t="shared" si="6"/>
        <v>0.34650513222962054</v>
      </c>
      <c r="AD18" s="65">
        <f t="shared" si="7"/>
        <v>0.57730779894810003</v>
      </c>
      <c r="AE18" s="66">
        <f t="shared" si="8"/>
        <v>7.6187068822279477E-2</v>
      </c>
      <c r="AF18" s="55" t="str">
        <f t="shared" si="9"/>
        <v>Foam</v>
      </c>
      <c r="AG18" s="67">
        <f t="shared" si="10"/>
        <v>0.57730779894810003</v>
      </c>
      <c r="AH18" s="67">
        <f t="shared" si="11"/>
        <v>0.23080266671847949</v>
      </c>
    </row>
    <row r="19" spans="1:34" ht="15" customHeight="1" x14ac:dyDescent="0.4">
      <c r="A19" s="55">
        <v>15</v>
      </c>
      <c r="B19" s="56" t="s">
        <v>235</v>
      </c>
      <c r="C19" s="57" t="s">
        <v>63</v>
      </c>
      <c r="D19" s="57" t="s">
        <v>217</v>
      </c>
      <c r="E19" s="57" t="s">
        <v>32</v>
      </c>
      <c r="F19" s="57" t="s">
        <v>50</v>
      </c>
      <c r="G19" s="57" t="s">
        <v>217</v>
      </c>
      <c r="H19" s="58">
        <v>2</v>
      </c>
      <c r="I19" s="58">
        <v>0</v>
      </c>
      <c r="J19" s="58">
        <v>2</v>
      </c>
      <c r="K19" s="58">
        <v>5</v>
      </c>
      <c r="L19" s="58">
        <v>5</v>
      </c>
      <c r="M19" s="58">
        <v>5</v>
      </c>
      <c r="N19" s="58">
        <v>3</v>
      </c>
      <c r="O19" s="58">
        <v>3</v>
      </c>
      <c r="P19" s="58">
        <v>5</v>
      </c>
      <c r="Q19" s="58">
        <v>4</v>
      </c>
      <c r="R19" s="58">
        <v>90</v>
      </c>
      <c r="S19" s="58">
        <v>8</v>
      </c>
      <c r="T19" s="59">
        <f>SUMPRODUCT($H19:$Q19,L3_Genome!$C$6:$L$6)/(SUM($H19:$Q19)*5)*100</f>
        <v>69.411764705882348</v>
      </c>
      <c r="U19" s="59">
        <f>SUMPRODUCT($H19:$Q19,L3_Genome!$C$7:$L$7)/(SUM($H19:$Q19)*5)*100</f>
        <v>77.058823529411768</v>
      </c>
      <c r="V19" s="59">
        <f>SUMPRODUCT($H19:$Q19,L3_Genome!$C$8:$L$8)/(SUM($H19:$Q19)*5)*100</f>
        <v>83.529411764705884</v>
      </c>
      <c r="W19" s="60">
        <f t="shared" si="0"/>
        <v>1.05</v>
      </c>
      <c r="X19" s="60">
        <f t="shared" si="1"/>
        <v>0.85</v>
      </c>
      <c r="Y19" s="60">
        <f t="shared" si="2"/>
        <v>1.1000000000000001</v>
      </c>
      <c r="Z19" s="61">
        <f t="shared" si="3"/>
        <v>75.017647058823528</v>
      </c>
      <c r="AA19" s="62">
        <f t="shared" si="4"/>
        <v>71.875</v>
      </c>
      <c r="AB19" s="63">
        <f t="shared" si="5"/>
        <v>73.317647058823525</v>
      </c>
      <c r="AC19" s="64">
        <f t="shared" si="6"/>
        <v>0.4026245916903054</v>
      </c>
      <c r="AD19" s="65">
        <f t="shared" si="7"/>
        <v>0.27182914109378559</v>
      </c>
      <c r="AE19" s="66">
        <f t="shared" si="8"/>
        <v>0.3255462672159089</v>
      </c>
      <c r="AF19" s="55" t="str">
        <f t="shared" si="9"/>
        <v>Skin</v>
      </c>
      <c r="AG19" s="67">
        <f t="shared" si="10"/>
        <v>0.4026245916903054</v>
      </c>
      <c r="AH19" s="67">
        <f t="shared" si="11"/>
        <v>7.7078324474396498E-2</v>
      </c>
    </row>
    <row r="20" spans="1:34" ht="15" customHeight="1" x14ac:dyDescent="0.4">
      <c r="A20" s="55">
        <v>16</v>
      </c>
      <c r="B20" s="56" t="s">
        <v>236</v>
      </c>
      <c r="C20" s="57" t="s">
        <v>237</v>
      </c>
      <c r="D20" s="57" t="s">
        <v>217</v>
      </c>
      <c r="E20" s="57" t="s">
        <v>216</v>
      </c>
      <c r="F20" s="57" t="s">
        <v>217</v>
      </c>
      <c r="G20" s="57" t="s">
        <v>217</v>
      </c>
      <c r="H20" s="58">
        <v>5</v>
      </c>
      <c r="I20" s="58">
        <v>4</v>
      </c>
      <c r="J20" s="58">
        <v>4</v>
      </c>
      <c r="K20" s="58">
        <v>2</v>
      </c>
      <c r="L20" s="58">
        <v>3</v>
      </c>
      <c r="M20" s="58">
        <v>4</v>
      </c>
      <c r="N20" s="58">
        <v>3</v>
      </c>
      <c r="O20" s="58">
        <v>4</v>
      </c>
      <c r="P20" s="58">
        <v>4</v>
      </c>
      <c r="Q20" s="58">
        <v>3</v>
      </c>
      <c r="R20" s="58">
        <v>85</v>
      </c>
      <c r="S20" s="58">
        <v>18</v>
      </c>
      <c r="T20" s="59">
        <f>SUMPRODUCT($H20:$Q20,L3_Genome!$C$6:$L$6)/(SUM($H20:$Q20)*5)*100</f>
        <v>68.888888888888886</v>
      </c>
      <c r="U20" s="59">
        <f>SUMPRODUCT($H20:$Q20,L3_Genome!$C$7:$L$7)/(SUM($H20:$Q20)*5)*100</f>
        <v>70.555555555555557</v>
      </c>
      <c r="V20" s="59">
        <f>SUMPRODUCT($H20:$Q20,L3_Genome!$C$8:$L$8)/(SUM($H20:$Q20)*5)*100</f>
        <v>79.444444444444443</v>
      </c>
      <c r="W20" s="60">
        <f t="shared" si="0"/>
        <v>1</v>
      </c>
      <c r="X20" s="60">
        <f t="shared" si="1"/>
        <v>1</v>
      </c>
      <c r="Y20" s="60">
        <f t="shared" si="2"/>
        <v>1</v>
      </c>
      <c r="Z20" s="61">
        <f t="shared" si="3"/>
        <v>72.222222222222214</v>
      </c>
      <c r="AA20" s="62">
        <f t="shared" si="4"/>
        <v>75.413888888888891</v>
      </c>
      <c r="AB20" s="63">
        <f t="shared" si="5"/>
        <v>64.611111111111114</v>
      </c>
      <c r="AC20" s="64">
        <f t="shared" si="6"/>
        <v>0.34764763444954971</v>
      </c>
      <c r="AD20" s="65">
        <f t="shared" si="7"/>
        <v>0.5180893695427008</v>
      </c>
      <c r="AE20" s="66">
        <f t="shared" si="8"/>
        <v>0.13426299600774949</v>
      </c>
      <c r="AF20" s="55" t="str">
        <f t="shared" si="9"/>
        <v>Foam</v>
      </c>
      <c r="AG20" s="67">
        <f t="shared" si="10"/>
        <v>0.5180893695427008</v>
      </c>
      <c r="AH20" s="67">
        <f t="shared" si="11"/>
        <v>0.17044173509315108</v>
      </c>
    </row>
    <row r="21" spans="1:34" ht="15" customHeight="1" x14ac:dyDescent="0.4">
      <c r="A21" s="55">
        <v>17</v>
      </c>
      <c r="B21" s="56" t="s">
        <v>238</v>
      </c>
      <c r="C21" s="57" t="s">
        <v>64</v>
      </c>
      <c r="D21" s="57" t="s">
        <v>239</v>
      </c>
      <c r="E21" s="57" t="s">
        <v>32</v>
      </c>
      <c r="F21" s="57" t="s">
        <v>50</v>
      </c>
      <c r="G21" s="57" t="s">
        <v>217</v>
      </c>
      <c r="H21" s="58">
        <v>3</v>
      </c>
      <c r="I21" s="58">
        <v>0</v>
      </c>
      <c r="J21" s="58">
        <v>4</v>
      </c>
      <c r="K21" s="58">
        <v>4</v>
      </c>
      <c r="L21" s="58">
        <v>3</v>
      </c>
      <c r="M21" s="58">
        <v>5</v>
      </c>
      <c r="N21" s="58">
        <v>4</v>
      </c>
      <c r="O21" s="58">
        <v>5</v>
      </c>
      <c r="P21" s="58">
        <v>5</v>
      </c>
      <c r="Q21" s="58">
        <v>3</v>
      </c>
      <c r="R21" s="58">
        <v>140</v>
      </c>
      <c r="S21" s="58">
        <v>10</v>
      </c>
      <c r="T21" s="59">
        <f>SUMPRODUCT($H21:$Q21,L3_Genome!$C$6:$L$6)/(SUM($H21:$Q21)*5)*100</f>
        <v>67.222222222222229</v>
      </c>
      <c r="U21" s="59">
        <f>SUMPRODUCT($H21:$Q21,L3_Genome!$C$7:$L$7)/(SUM($H21:$Q21)*5)*100</f>
        <v>75.555555555555557</v>
      </c>
      <c r="V21" s="59">
        <f>SUMPRODUCT($H21:$Q21,L3_Genome!$C$8:$L$8)/(SUM($H21:$Q21)*5)*100</f>
        <v>86.111111111111114</v>
      </c>
      <c r="W21" s="60">
        <f t="shared" si="0"/>
        <v>1.1025</v>
      </c>
      <c r="X21" s="60">
        <f t="shared" si="1"/>
        <v>0.6</v>
      </c>
      <c r="Y21" s="60">
        <f t="shared" si="2"/>
        <v>1.2100000000000002</v>
      </c>
      <c r="Z21" s="61">
        <f t="shared" si="3"/>
        <v>75.878750000000011</v>
      </c>
      <c r="AA21" s="62">
        <f t="shared" si="4"/>
        <v>57.75833333333334</v>
      </c>
      <c r="AB21" s="63">
        <f t="shared" si="5"/>
        <v>81.936111111111131</v>
      </c>
      <c r="AC21" s="64">
        <f t="shared" si="6"/>
        <v>0.30901791120567845</v>
      </c>
      <c r="AD21" s="65">
        <f t="shared" si="7"/>
        <v>3.2083669326249412E-2</v>
      </c>
      <c r="AE21" s="66">
        <f t="shared" si="8"/>
        <v>0.65889841946807215</v>
      </c>
      <c r="AF21" s="55" t="str">
        <f t="shared" si="9"/>
        <v>Internal</v>
      </c>
      <c r="AG21" s="67">
        <f t="shared" si="10"/>
        <v>0.65889841946807215</v>
      </c>
      <c r="AH21" s="67">
        <f t="shared" si="11"/>
        <v>0.3498805082623937</v>
      </c>
    </row>
    <row r="22" spans="1:34" ht="15" customHeight="1" x14ac:dyDescent="0.4">
      <c r="A22" s="55">
        <v>18</v>
      </c>
      <c r="B22" s="56" t="s">
        <v>240</v>
      </c>
      <c r="C22" s="57" t="s">
        <v>64</v>
      </c>
      <c r="D22" s="57" t="s">
        <v>239</v>
      </c>
      <c r="E22" s="57" t="s">
        <v>216</v>
      </c>
      <c r="F22" s="57" t="s">
        <v>217</v>
      </c>
      <c r="G22" s="57" t="s">
        <v>217</v>
      </c>
      <c r="H22" s="58">
        <v>4</v>
      </c>
      <c r="I22" s="58">
        <v>5</v>
      </c>
      <c r="J22" s="58">
        <v>5</v>
      </c>
      <c r="K22" s="58">
        <v>5</v>
      </c>
      <c r="L22" s="58">
        <v>4</v>
      </c>
      <c r="M22" s="58">
        <v>4</v>
      </c>
      <c r="N22" s="58">
        <v>3</v>
      </c>
      <c r="O22" s="58">
        <v>4</v>
      </c>
      <c r="P22" s="58">
        <v>5</v>
      </c>
      <c r="Q22" s="58">
        <v>3</v>
      </c>
      <c r="R22" s="58">
        <v>140</v>
      </c>
      <c r="S22" s="58">
        <v>12</v>
      </c>
      <c r="T22" s="59">
        <f>SUMPRODUCT($H22:$Q22,L3_Genome!$C$6:$L$6)/(SUM($H22:$Q22)*5)*100</f>
        <v>72.38095238095238</v>
      </c>
      <c r="U22" s="59">
        <f>SUMPRODUCT($H22:$Q22,L3_Genome!$C$7:$L$7)/(SUM($H22:$Q22)*5)*100</f>
        <v>73.333333333333329</v>
      </c>
      <c r="V22" s="59">
        <f>SUMPRODUCT($H22:$Q22,L3_Genome!$C$8:$L$8)/(SUM($H22:$Q22)*5)*100</f>
        <v>75.714285714285708</v>
      </c>
      <c r="W22" s="60">
        <f t="shared" si="0"/>
        <v>1.25</v>
      </c>
      <c r="X22" s="60">
        <f t="shared" si="1"/>
        <v>0.6</v>
      </c>
      <c r="Y22" s="60">
        <f t="shared" si="2"/>
        <v>1.1000000000000001</v>
      </c>
      <c r="Z22" s="61">
        <f t="shared" si="3"/>
        <v>87.333333333333343</v>
      </c>
      <c r="AA22" s="62">
        <f t="shared" si="4"/>
        <v>56.824999999999996</v>
      </c>
      <c r="AB22" s="63">
        <f t="shared" si="5"/>
        <v>67.3</v>
      </c>
      <c r="AC22" s="64">
        <f t="shared" si="6"/>
        <v>0.90595009082989353</v>
      </c>
      <c r="AD22" s="65">
        <f t="shared" si="7"/>
        <v>1.9994206377728186E-2</v>
      </c>
      <c r="AE22" s="66">
        <f t="shared" si="8"/>
        <v>7.405570279237822E-2</v>
      </c>
      <c r="AF22" s="55" t="str">
        <f t="shared" si="9"/>
        <v>Skin</v>
      </c>
      <c r="AG22" s="67">
        <f t="shared" si="10"/>
        <v>0.90595009082989353</v>
      </c>
      <c r="AH22" s="67">
        <f t="shared" si="11"/>
        <v>0.83189438803751536</v>
      </c>
    </row>
    <row r="23" spans="1:34" ht="15" customHeight="1" x14ac:dyDescent="0.4">
      <c r="A23" s="55">
        <v>19</v>
      </c>
      <c r="B23" s="56" t="s">
        <v>241</v>
      </c>
      <c r="C23" s="57" t="s">
        <v>32</v>
      </c>
      <c r="D23" s="57" t="s">
        <v>242</v>
      </c>
      <c r="E23" s="57" t="s">
        <v>32</v>
      </c>
      <c r="F23" s="57" t="s">
        <v>50</v>
      </c>
      <c r="G23" s="57" t="s">
        <v>217</v>
      </c>
      <c r="H23" s="58">
        <v>1</v>
      </c>
      <c r="I23" s="58">
        <v>0</v>
      </c>
      <c r="J23" s="58">
        <v>2</v>
      </c>
      <c r="K23" s="58">
        <v>2</v>
      </c>
      <c r="L23" s="58">
        <v>2</v>
      </c>
      <c r="M23" s="58">
        <v>5</v>
      </c>
      <c r="N23" s="58">
        <v>3</v>
      </c>
      <c r="O23" s="58">
        <v>5</v>
      </c>
      <c r="P23" s="58">
        <v>5</v>
      </c>
      <c r="Q23" s="58">
        <v>3</v>
      </c>
      <c r="R23" s="58">
        <v>140</v>
      </c>
      <c r="S23" s="58">
        <v>10</v>
      </c>
      <c r="T23" s="59">
        <f>SUMPRODUCT($H23:$Q23,L3_Genome!$C$6:$L$6)/(SUM($H23:$Q23)*5)*100</f>
        <v>66.428571428571431</v>
      </c>
      <c r="U23" s="59">
        <f>SUMPRODUCT($H23:$Q23,L3_Genome!$C$7:$L$7)/(SUM($H23:$Q23)*5)*100</f>
        <v>73.571428571428584</v>
      </c>
      <c r="V23" s="59">
        <f>SUMPRODUCT($H23:$Q23,L3_Genome!$C$8:$L$8)/(SUM($H23:$Q23)*5)*100</f>
        <v>89.285714285714292</v>
      </c>
      <c r="W23" s="60">
        <f t="shared" si="0"/>
        <v>1.1025</v>
      </c>
      <c r="X23" s="60">
        <f t="shared" si="1"/>
        <v>0.6</v>
      </c>
      <c r="Y23" s="60">
        <f t="shared" si="2"/>
        <v>1.2100000000000002</v>
      </c>
      <c r="Z23" s="61">
        <f t="shared" si="3"/>
        <v>75.266250000000014</v>
      </c>
      <c r="AA23" s="62">
        <f t="shared" si="4"/>
        <v>56.924999999999997</v>
      </c>
      <c r="AB23" s="63">
        <f t="shared" si="5"/>
        <v>84.625000000000014</v>
      </c>
      <c r="AC23" s="64">
        <f t="shared" si="6"/>
        <v>0.23134829173917015</v>
      </c>
      <c r="AD23" s="65">
        <f t="shared" si="7"/>
        <v>2.33656753819209E-2</v>
      </c>
      <c r="AE23" s="66">
        <f t="shared" si="8"/>
        <v>0.74528603287890893</v>
      </c>
      <c r="AF23" s="55" t="str">
        <f t="shared" si="9"/>
        <v>Internal</v>
      </c>
      <c r="AG23" s="67">
        <f t="shared" si="10"/>
        <v>0.74528603287890893</v>
      </c>
      <c r="AH23" s="67">
        <f t="shared" si="11"/>
        <v>0.51393774113973878</v>
      </c>
    </row>
    <row r="24" spans="1:34" ht="15" customHeight="1" x14ac:dyDescent="0.4">
      <c r="A24" s="55">
        <v>20</v>
      </c>
      <c r="B24" s="56" t="s">
        <v>243</v>
      </c>
      <c r="C24" s="57" t="s">
        <v>129</v>
      </c>
      <c r="D24" s="57" t="s">
        <v>217</v>
      </c>
      <c r="E24" s="57" t="s">
        <v>216</v>
      </c>
      <c r="F24" s="57" t="s">
        <v>217</v>
      </c>
      <c r="G24" s="57" t="s">
        <v>218</v>
      </c>
      <c r="H24" s="58">
        <v>2</v>
      </c>
      <c r="I24" s="58">
        <v>5</v>
      </c>
      <c r="J24" s="58">
        <v>3</v>
      </c>
      <c r="K24" s="58">
        <v>4</v>
      </c>
      <c r="L24" s="58">
        <v>5</v>
      </c>
      <c r="M24" s="58">
        <v>3</v>
      </c>
      <c r="N24" s="58">
        <v>1</v>
      </c>
      <c r="O24" s="58">
        <v>2</v>
      </c>
      <c r="P24" s="58">
        <v>4</v>
      </c>
      <c r="Q24" s="58">
        <v>2</v>
      </c>
      <c r="R24" s="58">
        <v>120</v>
      </c>
      <c r="S24" s="58">
        <v>8</v>
      </c>
      <c r="T24" s="59">
        <f>SUMPRODUCT($H24:$Q24,L3_Genome!$C$6:$L$6)/(SUM($H24:$Q24)*5)*100</f>
        <v>77.41935483870968</v>
      </c>
      <c r="U24" s="59">
        <f>SUMPRODUCT($H24:$Q24,L3_Genome!$C$7:$L$7)/(SUM($H24:$Q24)*5)*100</f>
        <v>74.838709677419359</v>
      </c>
      <c r="V24" s="59">
        <f>SUMPRODUCT($H24:$Q24,L3_Genome!$C$8:$L$8)/(SUM($H24:$Q24)*5)*100</f>
        <v>70.322580645161295</v>
      </c>
      <c r="W24" s="60">
        <f t="shared" si="0"/>
        <v>1.1499999999999999</v>
      </c>
      <c r="X24" s="60">
        <f t="shared" si="1"/>
        <v>1</v>
      </c>
      <c r="Y24" s="60">
        <f t="shared" si="2"/>
        <v>1</v>
      </c>
      <c r="Z24" s="61">
        <f t="shared" si="3"/>
        <v>86.322580645161295</v>
      </c>
      <c r="AA24" s="62">
        <f t="shared" si="4"/>
        <v>78.412096774193557</v>
      </c>
      <c r="AB24" s="63">
        <f t="shared" si="5"/>
        <v>58.225806451612904</v>
      </c>
      <c r="AC24" s="64">
        <f t="shared" si="6"/>
        <v>0.71334143187359611</v>
      </c>
      <c r="AD24" s="65">
        <f t="shared" si="7"/>
        <v>0.26537653081553314</v>
      </c>
      <c r="AE24" s="66">
        <f t="shared" si="8"/>
        <v>2.1282037310870638E-2</v>
      </c>
      <c r="AF24" s="55" t="str">
        <f t="shared" si="9"/>
        <v>Skin</v>
      </c>
      <c r="AG24" s="67">
        <f t="shared" si="10"/>
        <v>0.71334143187359611</v>
      </c>
      <c r="AH24" s="67">
        <f t="shared" si="11"/>
        <v>0.44796490105806297</v>
      </c>
    </row>
    <row r="25" spans="1:34" ht="15" customHeight="1" x14ac:dyDescent="0.4">
      <c r="A25" s="55">
        <v>21</v>
      </c>
      <c r="B25" s="56" t="s">
        <v>244</v>
      </c>
      <c r="C25" s="57" t="s">
        <v>129</v>
      </c>
      <c r="D25" s="57" t="s">
        <v>226</v>
      </c>
      <c r="E25" s="57" t="s">
        <v>216</v>
      </c>
      <c r="F25" s="57" t="s">
        <v>217</v>
      </c>
      <c r="G25" s="57" t="s">
        <v>218</v>
      </c>
      <c r="H25" s="58">
        <v>2</v>
      </c>
      <c r="I25" s="58">
        <v>5</v>
      </c>
      <c r="J25" s="58">
        <v>3</v>
      </c>
      <c r="K25" s="58">
        <v>4</v>
      </c>
      <c r="L25" s="58">
        <v>5</v>
      </c>
      <c r="M25" s="58">
        <v>3</v>
      </c>
      <c r="N25" s="58">
        <v>1</v>
      </c>
      <c r="O25" s="58">
        <v>2</v>
      </c>
      <c r="P25" s="58">
        <v>4</v>
      </c>
      <c r="Q25" s="58">
        <v>2</v>
      </c>
      <c r="R25" s="58">
        <v>60</v>
      </c>
      <c r="S25" s="58">
        <v>8</v>
      </c>
      <c r="T25" s="59">
        <f>SUMPRODUCT($H25:$Q25,L3_Genome!$C$6:$L$6)/(SUM($H25:$Q25)*5)*100</f>
        <v>77.41935483870968</v>
      </c>
      <c r="U25" s="59">
        <f>SUMPRODUCT($H25:$Q25,L3_Genome!$C$7:$L$7)/(SUM($H25:$Q25)*5)*100</f>
        <v>74.838709677419359</v>
      </c>
      <c r="V25" s="59">
        <f>SUMPRODUCT($H25:$Q25,L3_Genome!$C$8:$L$8)/(SUM($H25:$Q25)*5)*100</f>
        <v>70.322580645161295</v>
      </c>
      <c r="W25" s="60">
        <f t="shared" si="0"/>
        <v>1.1499999999999999</v>
      </c>
      <c r="X25" s="60">
        <f t="shared" si="1"/>
        <v>1</v>
      </c>
      <c r="Y25" s="60">
        <f t="shared" si="2"/>
        <v>1</v>
      </c>
      <c r="Z25" s="61">
        <f t="shared" si="3"/>
        <v>86.322580645161295</v>
      </c>
      <c r="AA25" s="62">
        <f t="shared" si="4"/>
        <v>78.412096774193557</v>
      </c>
      <c r="AB25" s="63">
        <f t="shared" si="5"/>
        <v>58.225806451612904</v>
      </c>
      <c r="AC25" s="64">
        <f t="shared" si="6"/>
        <v>0.71334143187359611</v>
      </c>
      <c r="AD25" s="65">
        <f t="shared" si="7"/>
        <v>0.26537653081553314</v>
      </c>
      <c r="AE25" s="66">
        <f t="shared" si="8"/>
        <v>2.1282037310870638E-2</v>
      </c>
      <c r="AF25" s="55" t="str">
        <f t="shared" si="9"/>
        <v>Skin</v>
      </c>
      <c r="AG25" s="67">
        <f t="shared" si="10"/>
        <v>0.71334143187359611</v>
      </c>
      <c r="AH25" s="67">
        <f t="shared" si="11"/>
        <v>0.44796490105806297</v>
      </c>
    </row>
    <row r="26" spans="1:34" ht="15" customHeight="1" x14ac:dyDescent="0.4">
      <c r="A26" s="55">
        <v>22</v>
      </c>
      <c r="B26" s="56" t="s">
        <v>245</v>
      </c>
      <c r="C26" s="57" t="s">
        <v>246</v>
      </c>
      <c r="D26" s="57" t="s">
        <v>242</v>
      </c>
      <c r="E26" s="57" t="s">
        <v>216</v>
      </c>
      <c r="F26" s="57" t="s">
        <v>217</v>
      </c>
      <c r="G26" s="57" t="s">
        <v>218</v>
      </c>
      <c r="H26" s="58">
        <v>5</v>
      </c>
      <c r="I26" s="58">
        <v>4</v>
      </c>
      <c r="J26" s="58">
        <v>3</v>
      </c>
      <c r="K26" s="58">
        <v>2</v>
      </c>
      <c r="L26" s="58">
        <v>4</v>
      </c>
      <c r="M26" s="58">
        <v>3</v>
      </c>
      <c r="N26" s="58">
        <v>2</v>
      </c>
      <c r="O26" s="58">
        <v>2</v>
      </c>
      <c r="P26" s="58">
        <v>3</v>
      </c>
      <c r="Q26" s="58">
        <v>2</v>
      </c>
      <c r="R26" s="58">
        <v>40</v>
      </c>
      <c r="S26" s="58">
        <v>18</v>
      </c>
      <c r="T26" s="59">
        <f>SUMPRODUCT($H26:$Q26,L3_Genome!$C$6:$L$6)/(SUM($H26:$Q26)*5)*100</f>
        <v>71.333333333333343</v>
      </c>
      <c r="U26" s="59">
        <f>SUMPRODUCT($H26:$Q26,L3_Genome!$C$7:$L$7)/(SUM($H26:$Q26)*5)*100</f>
        <v>71.333333333333343</v>
      </c>
      <c r="V26" s="59">
        <f>SUMPRODUCT($H26:$Q26,L3_Genome!$C$8:$L$8)/(SUM($H26:$Q26)*5)*100</f>
        <v>76</v>
      </c>
      <c r="W26" s="60">
        <f t="shared" si="0"/>
        <v>1</v>
      </c>
      <c r="X26" s="60">
        <f t="shared" si="1"/>
        <v>1</v>
      </c>
      <c r="Y26" s="60">
        <f t="shared" si="2"/>
        <v>1</v>
      </c>
      <c r="Z26" s="61">
        <f t="shared" si="3"/>
        <v>73.933333333333337</v>
      </c>
      <c r="AA26" s="62">
        <f t="shared" si="4"/>
        <v>75.958333333333343</v>
      </c>
      <c r="AB26" s="63">
        <f t="shared" si="5"/>
        <v>62.199999999999996</v>
      </c>
      <c r="AC26" s="64">
        <f t="shared" si="6"/>
        <v>0.3970243100125781</v>
      </c>
      <c r="AD26" s="65">
        <f t="shared" si="7"/>
        <v>0.51138488847803931</v>
      </c>
      <c r="AE26" s="66">
        <f t="shared" si="8"/>
        <v>9.1590801509382438E-2</v>
      </c>
      <c r="AF26" s="55" t="str">
        <f t="shared" si="9"/>
        <v>Foam</v>
      </c>
      <c r="AG26" s="67">
        <f t="shared" si="10"/>
        <v>0.51138488847803931</v>
      </c>
      <c r="AH26" s="67">
        <f t="shared" si="11"/>
        <v>0.11436057846546122</v>
      </c>
    </row>
    <row r="27" spans="1:34" ht="15" customHeight="1" x14ac:dyDescent="0.4">
      <c r="A27" s="55">
        <v>23</v>
      </c>
      <c r="B27" s="56" t="s">
        <v>247</v>
      </c>
      <c r="C27" s="57" t="s">
        <v>248</v>
      </c>
      <c r="D27" s="57" t="s">
        <v>217</v>
      </c>
      <c r="E27" s="57" t="s">
        <v>32</v>
      </c>
      <c r="F27" s="57" t="s">
        <v>50</v>
      </c>
      <c r="G27" s="57" t="s">
        <v>217</v>
      </c>
      <c r="H27" s="58">
        <v>4</v>
      </c>
      <c r="I27" s="58">
        <v>1</v>
      </c>
      <c r="J27" s="58">
        <v>4</v>
      </c>
      <c r="K27" s="58">
        <v>3</v>
      </c>
      <c r="L27" s="58">
        <v>3</v>
      </c>
      <c r="M27" s="58">
        <v>5</v>
      </c>
      <c r="N27" s="58">
        <v>5</v>
      </c>
      <c r="O27" s="58">
        <v>5</v>
      </c>
      <c r="P27" s="58">
        <v>3</v>
      </c>
      <c r="Q27" s="58">
        <v>3</v>
      </c>
      <c r="R27" s="58">
        <v>75</v>
      </c>
      <c r="S27" s="58">
        <v>14</v>
      </c>
      <c r="T27" s="59">
        <f>SUMPRODUCT($H27:$Q27,L3_Genome!$C$6:$L$6)/(SUM($H27:$Q27)*5)*100</f>
        <v>66.111111111111114</v>
      </c>
      <c r="U27" s="59">
        <f>SUMPRODUCT($H27:$Q27,L3_Genome!$C$7:$L$7)/(SUM($H27:$Q27)*5)*100</f>
        <v>73.333333333333329</v>
      </c>
      <c r="V27" s="59">
        <f>SUMPRODUCT($H27:$Q27,L3_Genome!$C$8:$L$8)/(SUM($H27:$Q27)*5)*100</f>
        <v>85</v>
      </c>
      <c r="W27" s="60">
        <f t="shared" si="0"/>
        <v>1</v>
      </c>
      <c r="X27" s="60">
        <f t="shared" si="1"/>
        <v>0.9</v>
      </c>
      <c r="Y27" s="60">
        <f t="shared" si="2"/>
        <v>1.2100000000000002</v>
      </c>
      <c r="Z27" s="61">
        <f t="shared" si="3"/>
        <v>70.277777777777786</v>
      </c>
      <c r="AA27" s="62">
        <f t="shared" si="4"/>
        <v>72.224999999999994</v>
      </c>
      <c r="AB27" s="63">
        <f t="shared" si="5"/>
        <v>80.995000000000005</v>
      </c>
      <c r="AC27" s="64">
        <f t="shared" si="6"/>
        <v>0.1641146839965088</v>
      </c>
      <c r="AD27" s="65">
        <f t="shared" si="7"/>
        <v>0.20934178556177563</v>
      </c>
      <c r="AE27" s="66">
        <f t="shared" si="8"/>
        <v>0.62654353044171562</v>
      </c>
      <c r="AF27" s="55" t="str">
        <f t="shared" si="9"/>
        <v>Internal</v>
      </c>
      <c r="AG27" s="67">
        <f t="shared" si="10"/>
        <v>0.62654353044171562</v>
      </c>
      <c r="AH27" s="67">
        <f t="shared" si="11"/>
        <v>0.41720174487994</v>
      </c>
    </row>
    <row r="28" spans="1:34" ht="15" customHeight="1" x14ac:dyDescent="0.4">
      <c r="A28" s="55">
        <v>24</v>
      </c>
      <c r="B28" s="56" t="s">
        <v>249</v>
      </c>
      <c r="C28" s="57" t="s">
        <v>250</v>
      </c>
      <c r="D28" s="57" t="s">
        <v>217</v>
      </c>
      <c r="E28" s="57" t="s">
        <v>216</v>
      </c>
      <c r="F28" s="57" t="s">
        <v>217</v>
      </c>
      <c r="G28" s="57" t="s">
        <v>50</v>
      </c>
      <c r="H28" s="58">
        <v>4</v>
      </c>
      <c r="I28" s="58">
        <v>4</v>
      </c>
      <c r="J28" s="58">
        <v>3</v>
      </c>
      <c r="K28" s="58">
        <v>3</v>
      </c>
      <c r="L28" s="58">
        <v>4</v>
      </c>
      <c r="M28" s="58">
        <v>3</v>
      </c>
      <c r="N28" s="58">
        <v>2</v>
      </c>
      <c r="O28" s="58">
        <v>2</v>
      </c>
      <c r="P28" s="58">
        <v>2</v>
      </c>
      <c r="Q28" s="58">
        <v>3</v>
      </c>
      <c r="R28" s="58">
        <v>120</v>
      </c>
      <c r="S28" s="58">
        <v>14</v>
      </c>
      <c r="T28" s="59">
        <f>SUMPRODUCT($H28:$Q28,L3_Genome!$C$6:$L$6)/(SUM($H28:$Q28)*5)*100</f>
        <v>71.333333333333343</v>
      </c>
      <c r="U28" s="59">
        <f>SUMPRODUCT($H28:$Q28,L3_Genome!$C$7:$L$7)/(SUM($H28:$Q28)*5)*100</f>
        <v>72.666666666666671</v>
      </c>
      <c r="V28" s="59">
        <f>SUMPRODUCT($H28:$Q28,L3_Genome!$C$8:$L$8)/(SUM($H28:$Q28)*5)*100</f>
        <v>74</v>
      </c>
      <c r="W28" s="60">
        <f t="shared" si="0"/>
        <v>1</v>
      </c>
      <c r="X28" s="60">
        <f t="shared" si="1"/>
        <v>1</v>
      </c>
      <c r="Y28" s="60">
        <f t="shared" si="2"/>
        <v>1</v>
      </c>
      <c r="Z28" s="61">
        <f t="shared" si="3"/>
        <v>73.933333333333337</v>
      </c>
      <c r="AA28" s="62">
        <f t="shared" si="4"/>
        <v>76.891666666666666</v>
      </c>
      <c r="AB28" s="63">
        <f t="shared" si="5"/>
        <v>60.8</v>
      </c>
      <c r="AC28" s="64">
        <f t="shared" si="6"/>
        <v>0.3786315432308604</v>
      </c>
      <c r="AD28" s="65">
        <f t="shared" si="7"/>
        <v>0.54804380365214389</v>
      </c>
      <c r="AE28" s="66">
        <f t="shared" si="8"/>
        <v>7.3324653116995653E-2</v>
      </c>
      <c r="AF28" s="55" t="str">
        <f t="shared" si="9"/>
        <v>Foam</v>
      </c>
      <c r="AG28" s="67">
        <f t="shared" si="10"/>
        <v>0.54804380365214389</v>
      </c>
      <c r="AH28" s="67">
        <f t="shared" si="11"/>
        <v>0.16941226042128349</v>
      </c>
    </row>
    <row r="29" spans="1:34" ht="15" customHeight="1" x14ac:dyDescent="0.4">
      <c r="A29" s="55">
        <v>25</v>
      </c>
      <c r="B29" s="56" t="s">
        <v>251</v>
      </c>
      <c r="C29" s="57" t="s">
        <v>73</v>
      </c>
      <c r="D29" s="57" t="s">
        <v>50</v>
      </c>
      <c r="E29" s="57" t="s">
        <v>32</v>
      </c>
      <c r="F29" s="57" t="s">
        <v>50</v>
      </c>
      <c r="G29" s="57" t="s">
        <v>218</v>
      </c>
      <c r="H29" s="58">
        <v>5</v>
      </c>
      <c r="I29" s="58">
        <v>1</v>
      </c>
      <c r="J29" s="58">
        <v>5</v>
      </c>
      <c r="K29" s="58">
        <v>3</v>
      </c>
      <c r="L29" s="58">
        <v>4</v>
      </c>
      <c r="M29" s="58">
        <v>4</v>
      </c>
      <c r="N29" s="58">
        <v>2</v>
      </c>
      <c r="O29" s="58">
        <v>5</v>
      </c>
      <c r="P29" s="58">
        <v>2</v>
      </c>
      <c r="Q29" s="58">
        <v>4</v>
      </c>
      <c r="R29" s="58">
        <v>10</v>
      </c>
      <c r="S29" s="58">
        <v>24</v>
      </c>
      <c r="T29" s="59">
        <f>SUMPRODUCT($H29:$Q29,L3_Genome!$C$6:$L$6)/(SUM($H29:$Q29)*5)*100</f>
        <v>66.285714285714278</v>
      </c>
      <c r="U29" s="59">
        <f>SUMPRODUCT($H29:$Q29,L3_Genome!$C$7:$L$7)/(SUM($H29:$Q29)*5)*100</f>
        <v>77.142857142857153</v>
      </c>
      <c r="V29" s="59">
        <f>SUMPRODUCT($H29:$Q29,L3_Genome!$C$8:$L$8)/(SUM($H29:$Q29)*5)*100</f>
        <v>81.714285714285722</v>
      </c>
      <c r="W29" s="60">
        <f t="shared" si="0"/>
        <v>1</v>
      </c>
      <c r="X29" s="60">
        <f t="shared" si="1"/>
        <v>1</v>
      </c>
      <c r="Y29" s="60">
        <f t="shared" si="2"/>
        <v>1.25</v>
      </c>
      <c r="Z29" s="61">
        <f t="shared" si="3"/>
        <v>70.399999999999991</v>
      </c>
      <c r="AA29" s="62">
        <f t="shared" si="4"/>
        <v>80.025000000000006</v>
      </c>
      <c r="AB29" s="63">
        <f t="shared" si="5"/>
        <v>80.5</v>
      </c>
      <c r="AC29" s="64">
        <f t="shared" si="6"/>
        <v>0.12714954921381802</v>
      </c>
      <c r="AD29" s="65">
        <f t="shared" si="7"/>
        <v>0.42347265652940674</v>
      </c>
      <c r="AE29" s="66">
        <f t="shared" si="8"/>
        <v>0.44937779425677515</v>
      </c>
      <c r="AF29" s="55" t="str">
        <f t="shared" si="9"/>
        <v>Internal</v>
      </c>
      <c r="AG29" s="67">
        <f t="shared" si="10"/>
        <v>0.44937779425677515</v>
      </c>
      <c r="AH29" s="67">
        <f t="shared" si="11"/>
        <v>2.590513772736841E-2</v>
      </c>
    </row>
    <row r="30" spans="1:34" ht="15" customHeight="1" x14ac:dyDescent="0.4">
      <c r="A30" s="55">
        <v>26</v>
      </c>
      <c r="B30" s="56" t="s">
        <v>252</v>
      </c>
      <c r="C30" s="57" t="s">
        <v>70</v>
      </c>
      <c r="D30" s="57" t="s">
        <v>226</v>
      </c>
      <c r="E30" s="57" t="s">
        <v>231</v>
      </c>
      <c r="F30" s="57" t="s">
        <v>218</v>
      </c>
      <c r="G30" s="57" t="s">
        <v>217</v>
      </c>
      <c r="H30" s="58">
        <v>3</v>
      </c>
      <c r="I30" s="58">
        <v>2</v>
      </c>
      <c r="J30" s="58">
        <v>5</v>
      </c>
      <c r="K30" s="58">
        <v>4</v>
      </c>
      <c r="L30" s="58">
        <v>4</v>
      </c>
      <c r="M30" s="58">
        <v>5</v>
      </c>
      <c r="N30" s="58">
        <v>5</v>
      </c>
      <c r="O30" s="58">
        <v>4</v>
      </c>
      <c r="P30" s="58">
        <v>3</v>
      </c>
      <c r="Q30" s="58">
        <v>3</v>
      </c>
      <c r="R30" s="58">
        <v>50</v>
      </c>
      <c r="S30" s="58">
        <v>10</v>
      </c>
      <c r="T30" s="59">
        <f>SUMPRODUCT($H30:$Q30,L3_Genome!$C$6:$L$6)/(SUM($H30:$Q30)*5)*100</f>
        <v>69.473684210526315</v>
      </c>
      <c r="U30" s="59">
        <f>SUMPRODUCT($H30:$Q30,L3_Genome!$C$7:$L$7)/(SUM($H30:$Q30)*5)*100</f>
        <v>74.73684210526315</v>
      </c>
      <c r="V30" s="59">
        <f>SUMPRODUCT($H30:$Q30,L3_Genome!$C$8:$L$8)/(SUM($H30:$Q30)*5)*100</f>
        <v>80.526315789473685</v>
      </c>
      <c r="W30" s="60">
        <f t="shared" si="0"/>
        <v>1</v>
      </c>
      <c r="X30" s="60">
        <f t="shared" si="1"/>
        <v>0.9</v>
      </c>
      <c r="Y30" s="60">
        <f t="shared" si="2"/>
        <v>1.1000000000000001</v>
      </c>
      <c r="Z30" s="61">
        <f t="shared" si="3"/>
        <v>72.631578947368425</v>
      </c>
      <c r="AA30" s="62">
        <f t="shared" si="4"/>
        <v>73.109210526315778</v>
      </c>
      <c r="AB30" s="63">
        <f t="shared" si="5"/>
        <v>71.005263157894731</v>
      </c>
      <c r="AC30" s="64">
        <f t="shared" si="6"/>
        <v>0.34751613663460279</v>
      </c>
      <c r="AD30" s="65">
        <f t="shared" si="7"/>
        <v>0.36889610556209679</v>
      </c>
      <c r="AE30" s="66">
        <f t="shared" si="8"/>
        <v>0.28358775780330031</v>
      </c>
      <c r="AF30" s="55" t="str">
        <f t="shared" si="9"/>
        <v>Foam</v>
      </c>
      <c r="AG30" s="67">
        <f t="shared" si="10"/>
        <v>0.36889610556209679</v>
      </c>
      <c r="AH30" s="67">
        <f t="shared" si="11"/>
        <v>2.1379968927493997E-2</v>
      </c>
    </row>
    <row r="32" spans="1:34" ht="25.5" customHeight="1" x14ac:dyDescent="0.4">
      <c r="A32" s="2" t="s">
        <v>253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</sheetData>
  <mergeCells count="10">
    <mergeCell ref="A32:AH32"/>
    <mergeCell ref="A1:AH1"/>
    <mergeCell ref="A3:G3"/>
    <mergeCell ref="H3:Q3"/>
    <mergeCell ref="R3:S3"/>
    <mergeCell ref="T3:V3"/>
    <mergeCell ref="W3:Y3"/>
    <mergeCell ref="Z3:AB3"/>
    <mergeCell ref="AC3:AE3"/>
    <mergeCell ref="AF3:AH3"/>
  </mergeCells>
  <phoneticPr fontId="42" type="noConversion"/>
  <conditionalFormatting sqref="AC5:AC30">
    <cfRule type="dataBar" priority="2">
      <dataBar>
        <cfvo type="num" val="0"/>
        <cfvo type="num" val="1"/>
        <color rgb="FFC0742C"/>
      </dataBar>
      <extLst>
        <ext xmlns:x14="http://schemas.microsoft.com/office/spreadsheetml/2009/9/main" uri="{B025F937-C7B1-47D3-B67F-A62EFF666E3E}">
          <x14:id>{172C9750-3CCA-4481-A620-9AE9C0BC33D5}</x14:id>
        </ext>
      </extLst>
    </cfRule>
  </conditionalFormatting>
  <conditionalFormatting sqref="AD5:AD30">
    <cfRule type="dataBar" priority="3">
      <dataBar>
        <cfvo type="num" val="0"/>
        <cfvo type="num" val="1"/>
        <color rgb="FF1E8449"/>
      </dataBar>
      <extLst>
        <ext xmlns:x14="http://schemas.microsoft.com/office/spreadsheetml/2009/9/main" uri="{B025F937-C7B1-47D3-B67F-A62EFF666E3E}">
          <x14:id>{E837C0E4-C3D4-4045-AD6D-7B1E99C44C3D}</x14:id>
        </ext>
      </extLst>
    </cfRule>
  </conditionalFormatting>
  <conditionalFormatting sqref="AE5:AE30">
    <cfRule type="dataBar" priority="4">
      <dataBar>
        <cfvo type="num" val="0"/>
        <cfvo type="num" val="1"/>
        <color rgb="FF2471A3"/>
      </dataBar>
      <extLst>
        <ext xmlns:x14="http://schemas.microsoft.com/office/spreadsheetml/2009/9/main" uri="{B025F937-C7B1-47D3-B67F-A62EFF666E3E}">
          <x14:id>{7DDFF6D8-20C7-42CF-A1AB-83822AE33DB6}</x14:id>
        </ext>
      </extLst>
    </cfRule>
  </conditionalFormatting>
  <dataValidations count="1">
    <dataValidation type="whole" sqref="H5:Q30" xr:uid="{00000000-0002-0000-0700-000000000000}">
      <formula1>0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2C9750-3CCA-4481-A620-9AE9C0BC33D5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C0742C"/>
            </x14:dataBar>
          </x14:cfRule>
          <xm:sqref>AC5:AC30</xm:sqref>
        </x14:conditionalFormatting>
        <x14:conditionalFormatting xmlns:xm="http://schemas.microsoft.com/office/excel/2006/main">
          <x14:cfRule type="dataBar" id="{E837C0E4-C3D4-4045-AD6D-7B1E99C44C3D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1E8449"/>
            </x14:dataBar>
          </x14:cfRule>
          <xm:sqref>AD5:AD30</xm:sqref>
        </x14:conditionalFormatting>
        <x14:conditionalFormatting xmlns:xm="http://schemas.microsoft.com/office/excel/2006/main">
          <x14:cfRule type="dataBar" id="{7DDFF6D8-20C7-42CF-A1AB-83822AE33DB6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2471A3"/>
            </x14:dataBar>
          </x14:cfRule>
          <xm:sqref>AE5:AE30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36"/>
  <sheetViews>
    <sheetView showGridLines="0" zoomScaleNormal="100" workbookViewId="0"/>
  </sheetViews>
  <sheetFormatPr defaultColWidth="8.69140625" defaultRowHeight="14.6" x14ac:dyDescent="0.4"/>
  <cols>
    <col min="1" max="1" width="2" customWidth="1"/>
    <col min="2" max="2" width="24" customWidth="1"/>
    <col min="3" max="9" width="10" customWidth="1"/>
    <col min="11" max="11" width="18" customWidth="1"/>
    <col min="12" max="12" width="12" customWidth="1"/>
    <col min="13" max="13" width="9" customWidth="1"/>
  </cols>
  <sheetData>
    <row r="1" spans="2:12" ht="21.75" customHeight="1" x14ac:dyDescent="0.4">
      <c r="B1" s="6" t="s">
        <v>254</v>
      </c>
      <c r="C1" s="6"/>
      <c r="D1" s="6"/>
      <c r="E1" s="6"/>
      <c r="F1" s="6"/>
      <c r="G1" s="6"/>
      <c r="H1" s="6"/>
      <c r="I1" s="6"/>
    </row>
    <row r="2" spans="2:12" ht="15" customHeight="1" x14ac:dyDescent="0.4">
      <c r="B2" s="8" t="s">
        <v>255</v>
      </c>
      <c r="C2" s="8"/>
      <c r="D2" s="8"/>
      <c r="E2" s="8"/>
      <c r="F2" s="8"/>
      <c r="G2" s="8"/>
      <c r="H2" s="8"/>
      <c r="I2" s="8"/>
    </row>
    <row r="4" spans="2:12" x14ac:dyDescent="0.4">
      <c r="B4" s="68" t="s">
        <v>256</v>
      </c>
      <c r="K4" s="69" t="s">
        <v>257</v>
      </c>
    </row>
    <row r="5" spans="2:12" x14ac:dyDescent="0.4">
      <c r="B5" s="70" t="s">
        <v>207</v>
      </c>
      <c r="C5" s="71">
        <v>150</v>
      </c>
      <c r="K5" s="72" t="s">
        <v>258</v>
      </c>
      <c r="L5" s="73">
        <f>SUM(D11:D36)</f>
        <v>64800</v>
      </c>
    </row>
    <row r="6" spans="2:12" x14ac:dyDescent="0.4">
      <c r="B6" s="74" t="s">
        <v>208</v>
      </c>
      <c r="C6" s="71">
        <v>119</v>
      </c>
      <c r="K6" s="72" t="s">
        <v>259</v>
      </c>
      <c r="L6" s="75">
        <f>SUMPRODUCT(D11:D36,F11:F36)/L5</f>
        <v>0.36120618078008065</v>
      </c>
    </row>
    <row r="7" spans="2:12" x14ac:dyDescent="0.4">
      <c r="B7" s="76" t="s">
        <v>260</v>
      </c>
      <c r="C7" s="71">
        <v>200</v>
      </c>
      <c r="K7" s="72" t="s">
        <v>261</v>
      </c>
      <c r="L7" s="75">
        <f>SUMPRODUCT(D11:D36,G11:G36)/L5</f>
        <v>0.36328318116601327</v>
      </c>
    </row>
    <row r="8" spans="2:12" x14ac:dyDescent="0.4">
      <c r="K8" s="72" t="s">
        <v>262</v>
      </c>
      <c r="L8" s="75">
        <f>SUMPRODUCT(D11:D36,H11:H36)/L5</f>
        <v>0.27551063805390608</v>
      </c>
    </row>
    <row r="9" spans="2:12" x14ac:dyDescent="0.4">
      <c r="K9" s="72" t="s">
        <v>263</v>
      </c>
      <c r="L9" s="77">
        <f>SUMPRODUCT(D11:D36,I11:I36)/L5</f>
        <v>68.676629570175294</v>
      </c>
    </row>
    <row r="10" spans="2:12" ht="22.3" x14ac:dyDescent="0.4">
      <c r="B10" s="36" t="s">
        <v>17</v>
      </c>
      <c r="C10" s="36" t="s">
        <v>213</v>
      </c>
      <c r="D10" s="36" t="s">
        <v>264</v>
      </c>
      <c r="E10" s="36" t="s">
        <v>210</v>
      </c>
      <c r="F10" s="36" t="s">
        <v>211</v>
      </c>
      <c r="G10" s="36" t="s">
        <v>212</v>
      </c>
      <c r="H10" s="36" t="s">
        <v>265</v>
      </c>
      <c r="I10" s="36" t="s">
        <v>266</v>
      </c>
      <c r="K10" s="72" t="s">
        <v>267</v>
      </c>
      <c r="L10" s="73">
        <f>SUM(J11:J36)/L5</f>
        <v>152.51375328654885</v>
      </c>
    </row>
    <row r="11" spans="2:12" ht="13.5" customHeight="1" x14ac:dyDescent="0.4">
      <c r="B11" s="78" t="str">
        <f>Allocation!B5</f>
        <v>Retail Lo Perim</v>
      </c>
      <c r="C11" s="78" t="str">
        <f>Allocation!AF5</f>
        <v>Foam</v>
      </c>
      <c r="D11" s="79">
        <v>2500</v>
      </c>
      <c r="E11" s="80"/>
      <c r="F11" s="81">
        <f>Allocation!AC5</f>
        <v>0.29528697817630545</v>
      </c>
      <c r="G11" s="81">
        <f>Allocation!AD5</f>
        <v>0.56466576016585235</v>
      </c>
      <c r="H11" s="81">
        <f>Allocation!AE5</f>
        <v>0.14004726165784212</v>
      </c>
      <c r="I11" s="82">
        <f>F11*Allocation!$J$2+G11*Allocation!$K$2+H11*Allocation!$L$2</f>
        <v>76.809130798227386</v>
      </c>
      <c r="J11" s="83">
        <f t="shared" ref="J11:J36" si="0">D11*(F11*$C$5+G11*$C$6+H11*$C$7)</f>
        <v>348744.31129437668</v>
      </c>
      <c r="K11" s="72" t="s">
        <v>268</v>
      </c>
      <c r="L11" s="84">
        <f>SUM(J11:J36)/1000</f>
        <v>9882.8912129683667</v>
      </c>
    </row>
    <row r="12" spans="2:12" ht="13.5" customHeight="1" x14ac:dyDescent="0.4">
      <c r="B12" s="78" t="str">
        <f>Allocation!B6</f>
        <v>Retail Lo Core</v>
      </c>
      <c r="C12" s="78" t="str">
        <f>Allocation!AF6</f>
        <v>Internal</v>
      </c>
      <c r="D12" s="79">
        <v>2000</v>
      </c>
      <c r="E12" s="80"/>
      <c r="F12" s="81">
        <f>Allocation!AC6</f>
        <v>7.3262412166217011E-2</v>
      </c>
      <c r="G12" s="81">
        <f>Allocation!AD6</f>
        <v>0.26966290606178772</v>
      </c>
      <c r="H12" s="81">
        <f>Allocation!AE6</f>
        <v>0.65707468177199513</v>
      </c>
      <c r="I12" s="82">
        <f>F12*Allocation!$J$2+G12*Allocation!$K$2+H12*Allocation!$L$2</f>
        <v>48.966490527317298</v>
      </c>
      <c r="J12" s="83">
        <f t="shared" si="0"/>
        <v>348988.36800136865</v>
      </c>
    </row>
    <row r="13" spans="2:12" ht="13.5" customHeight="1" x14ac:dyDescent="0.4">
      <c r="B13" s="78" t="str">
        <f>Allocation!B7</f>
        <v>Lobby Lo</v>
      </c>
      <c r="C13" s="78" t="str">
        <f>Allocation!AF7</f>
        <v>Foam</v>
      </c>
      <c r="D13" s="79">
        <v>1200</v>
      </c>
      <c r="E13" s="80"/>
      <c r="F13" s="81">
        <f>Allocation!AC7</f>
        <v>0.26708048988444572</v>
      </c>
      <c r="G13" s="81">
        <f>Allocation!AD7</f>
        <v>0.41228281415110396</v>
      </c>
      <c r="H13" s="81">
        <f>Allocation!AE7</f>
        <v>0.32063669596445027</v>
      </c>
      <c r="I13" s="82">
        <f>F13*Allocation!$J$2+G13*Allocation!$K$2+H13*Allocation!$L$2</f>
        <v>66.751074197297442</v>
      </c>
      <c r="J13" s="83">
        <f t="shared" si="0"/>
        <v>183901.28107144593</v>
      </c>
    </row>
    <row r="14" spans="2:12" ht="13.5" customHeight="1" x14ac:dyDescent="0.4">
      <c r="B14" s="78" t="str">
        <f>Allocation!B8</f>
        <v>Parking Lo</v>
      </c>
      <c r="C14" s="78" t="str">
        <f>Allocation!AF8</f>
        <v>Foam</v>
      </c>
      <c r="D14" s="79">
        <v>5000</v>
      </c>
      <c r="E14" s="80"/>
      <c r="F14" s="81">
        <f>Allocation!AC8</f>
        <v>0.18215180798236358</v>
      </c>
      <c r="G14" s="81">
        <f>Allocation!AD8</f>
        <v>0.63346749764392918</v>
      </c>
      <c r="H14" s="81">
        <f>Allocation!AE8</f>
        <v>0.18438069437370713</v>
      </c>
      <c r="I14" s="82">
        <f>F14*Allocation!$J$2+G14*Allocation!$K$2+H14*Allocation!$L$2</f>
        <v>75.056870890411147</v>
      </c>
      <c r="J14" s="83">
        <f t="shared" si="0"/>
        <v>697907.7114586177</v>
      </c>
    </row>
    <row r="15" spans="2:12" ht="13.5" customHeight="1" x14ac:dyDescent="0.4">
      <c r="B15" s="78" t="str">
        <f>Allocation!B9</f>
        <v>Conference Lo</v>
      </c>
      <c r="C15" s="78" t="str">
        <f>Allocation!AF9</f>
        <v>Foam</v>
      </c>
      <c r="D15" s="79">
        <v>1500</v>
      </c>
      <c r="E15" s="80"/>
      <c r="F15" s="81">
        <f>Allocation!AC9</f>
        <v>0.18884698218370979</v>
      </c>
      <c r="G15" s="81">
        <f>Allocation!AD9</f>
        <v>0.42847763357651358</v>
      </c>
      <c r="H15" s="81">
        <f>Allocation!AE9</f>
        <v>0.38267538423977665</v>
      </c>
      <c r="I15" s="82">
        <f>F15*Allocation!$J$2+G15*Allocation!$K$2+H15*Allocation!$L$2</f>
        <v>63.758454814652637</v>
      </c>
      <c r="J15" s="83">
        <f t="shared" si="0"/>
        <v>233776.44385667535</v>
      </c>
    </row>
    <row r="16" spans="2:12" ht="13.5" customHeight="1" x14ac:dyDescent="0.4">
      <c r="B16" s="78" t="str">
        <f>Allocation!B10</f>
        <v>DataCenter Lo</v>
      </c>
      <c r="C16" s="78" t="str">
        <f>Allocation!AF10</f>
        <v>Internal</v>
      </c>
      <c r="D16" s="79">
        <v>1500</v>
      </c>
      <c r="E16" s="80"/>
      <c r="F16" s="81">
        <f>Allocation!AC10</f>
        <v>0.11599299026367058</v>
      </c>
      <c r="G16" s="81">
        <f>Allocation!AD10</f>
        <v>0.15729536580421388</v>
      </c>
      <c r="H16" s="81">
        <f>Allocation!AE10</f>
        <v>0.72671164393211551</v>
      </c>
      <c r="I16" s="82">
        <f>F16*Allocation!$J$2+G16*Allocation!$K$2+H16*Allocation!$L$2</f>
        <v>44.726161522572667</v>
      </c>
      <c r="J16" s="83">
        <f t="shared" si="0"/>
        <v>272189.13878501271</v>
      </c>
    </row>
    <row r="17" spans="2:10" ht="13.5" customHeight="1" x14ac:dyDescent="0.4">
      <c r="B17" s="78" t="str">
        <f>Allocation!B11</f>
        <v>Office Mid S-Perim</v>
      </c>
      <c r="C17" s="78" t="str">
        <f>Allocation!AF11</f>
        <v>Skin</v>
      </c>
      <c r="D17" s="79">
        <v>3000</v>
      </c>
      <c r="E17" s="80"/>
      <c r="F17" s="81">
        <f>Allocation!AC11</f>
        <v>0.6198157744460141</v>
      </c>
      <c r="G17" s="81">
        <f>Allocation!AD11</f>
        <v>0.33646185881325619</v>
      </c>
      <c r="H17" s="81">
        <f>Allocation!AE11</f>
        <v>4.3722366740729622E-2</v>
      </c>
      <c r="I17" s="82">
        <f>F17*Allocation!$J$2+G17*Allocation!$K$2+H17*Allocation!$L$2</f>
        <v>80.084999209952983</v>
      </c>
      <c r="J17" s="83">
        <f t="shared" si="0"/>
        <v>425267.40214147663</v>
      </c>
    </row>
    <row r="18" spans="2:10" ht="13.5" customHeight="1" x14ac:dyDescent="0.4">
      <c r="B18" s="78" t="str">
        <f>Allocation!B12</f>
        <v>Office Mid Core</v>
      </c>
      <c r="C18" s="78" t="str">
        <f>Allocation!AF12</f>
        <v>Internal</v>
      </c>
      <c r="D18" s="79">
        <v>1500</v>
      </c>
      <c r="E18" s="80"/>
      <c r="F18" s="81">
        <f>Allocation!AC12</f>
        <v>0.34307737373181346</v>
      </c>
      <c r="G18" s="81">
        <f>Allocation!AD12</f>
        <v>0.24618443754222913</v>
      </c>
      <c r="H18" s="81">
        <f>Allocation!AE12</f>
        <v>0.41073818872595741</v>
      </c>
      <c r="I18" s="82">
        <f>F18*Allocation!$J$2+G18*Allocation!$K$2+H18*Allocation!$L$2</f>
        <v>61.124835517112174</v>
      </c>
      <c r="J18" s="83">
        <f t="shared" si="0"/>
        <v>244357.78780873318</v>
      </c>
    </row>
    <row r="19" spans="2:10" ht="13.5" customHeight="1" x14ac:dyDescent="0.4">
      <c r="B19" s="78" t="str">
        <f>Allocation!B13</f>
        <v>Office Mid N-Perim</v>
      </c>
      <c r="C19" s="78" t="str">
        <f>Allocation!AF13</f>
        <v>Foam</v>
      </c>
      <c r="D19" s="79">
        <v>3000</v>
      </c>
      <c r="E19" s="80"/>
      <c r="F19" s="81">
        <f>Allocation!AC13</f>
        <v>0.30964268973139358</v>
      </c>
      <c r="G19" s="81">
        <f>Allocation!AD13</f>
        <v>0.61046422639790987</v>
      </c>
      <c r="H19" s="81">
        <f>Allocation!AE13</f>
        <v>7.9893083870696519E-2</v>
      </c>
      <c r="I19" s="82">
        <f>F19*Allocation!$J$2+G19*Allocation!$K$2+H19*Allocation!$L$2</f>
        <v>80.125979334651063</v>
      </c>
      <c r="J19" s="83">
        <f t="shared" si="0"/>
        <v>405210.78952559887</v>
      </c>
    </row>
    <row r="20" spans="2:10" ht="13.5" customHeight="1" x14ac:dyDescent="0.4">
      <c r="B20" s="78" t="str">
        <f>Allocation!B14</f>
        <v>Hotel Mid Perim</v>
      </c>
      <c r="C20" s="78" t="str">
        <f>Allocation!AF14</f>
        <v>Foam</v>
      </c>
      <c r="D20" s="79">
        <v>5000</v>
      </c>
      <c r="E20" s="80"/>
      <c r="F20" s="81">
        <f>Allocation!AC14</f>
        <v>0.34910689181036014</v>
      </c>
      <c r="G20" s="81">
        <f>Allocation!AD14</f>
        <v>0.58164255753387817</v>
      </c>
      <c r="H20" s="81">
        <f>Allocation!AE14</f>
        <v>6.9250550655761772E-2</v>
      </c>
      <c r="I20" s="82">
        <f>F20*Allocation!$J$2+G20*Allocation!$K$2+H20*Allocation!$L$2</f>
        <v>80.463559730565606</v>
      </c>
      <c r="J20" s="83">
        <f t="shared" si="0"/>
        <v>677158.04124618939</v>
      </c>
    </row>
    <row r="21" spans="2:10" ht="13.5" customHeight="1" x14ac:dyDescent="0.4">
      <c r="B21" s="78" t="str">
        <f>Allocation!B15</f>
        <v>Lab Mid</v>
      </c>
      <c r="C21" s="78" t="str">
        <f>Allocation!AF15</f>
        <v>Internal</v>
      </c>
      <c r="D21" s="79">
        <v>2500</v>
      </c>
      <c r="E21" s="80"/>
      <c r="F21" s="81">
        <f>Allocation!AC15</f>
        <v>0.21788936406114995</v>
      </c>
      <c r="G21" s="81">
        <f>Allocation!AD15</f>
        <v>0.25199774069273939</v>
      </c>
      <c r="H21" s="81">
        <f>Allocation!AE15</f>
        <v>0.5301128952461106</v>
      </c>
      <c r="I21" s="82">
        <f>F21*Allocation!$J$2+G21*Allocation!$K$2+H21*Allocation!$L$2</f>
        <v>55.195339987370453</v>
      </c>
      <c r="J21" s="83">
        <f t="shared" si="0"/>
        <v>421734.28700207651</v>
      </c>
    </row>
    <row r="22" spans="2:10" ht="13.5" customHeight="1" x14ac:dyDescent="0.4">
      <c r="B22" s="78" t="str">
        <f>Allocation!B16</f>
        <v>Office Hi S-Perim</v>
      </c>
      <c r="C22" s="78" t="str">
        <f>Allocation!AF16</f>
        <v>Skin</v>
      </c>
      <c r="D22" s="79">
        <v>4000</v>
      </c>
      <c r="E22" s="80"/>
      <c r="F22" s="81">
        <f>Allocation!AC16</f>
        <v>0.80946825918373599</v>
      </c>
      <c r="G22" s="81">
        <f>Allocation!AD16</f>
        <v>0.11129343200209302</v>
      </c>
      <c r="H22" s="81">
        <f>Allocation!AE16</f>
        <v>7.9238308814170891E-2</v>
      </c>
      <c r="I22" s="82">
        <f>F22*Allocation!$J$2+G22*Allocation!$K$2+H22*Allocation!$L$2</f>
        <v>76.789315225305586</v>
      </c>
      <c r="J22" s="83">
        <f t="shared" si="0"/>
        <v>602047.27619457454</v>
      </c>
    </row>
    <row r="23" spans="2:10" ht="13.5" customHeight="1" x14ac:dyDescent="0.4">
      <c r="B23" s="78" t="str">
        <f>Allocation!B17</f>
        <v>Office Hi Core</v>
      </c>
      <c r="C23" s="78" t="str">
        <f>Allocation!AF17</f>
        <v>Internal</v>
      </c>
      <c r="D23" s="79">
        <v>2000</v>
      </c>
      <c r="E23" s="80"/>
      <c r="F23" s="81">
        <f>Allocation!AC17</f>
        <v>0.34307737373181346</v>
      </c>
      <c r="G23" s="81">
        <f>Allocation!AD17</f>
        <v>0.24618443754222913</v>
      </c>
      <c r="H23" s="81">
        <f>Allocation!AE17</f>
        <v>0.41073818872595741</v>
      </c>
      <c r="I23" s="82">
        <f>F23*Allocation!$J$2+G23*Allocation!$K$2+H23*Allocation!$L$2</f>
        <v>61.124835517112174</v>
      </c>
      <c r="J23" s="83">
        <f t="shared" si="0"/>
        <v>325810.38374497759</v>
      </c>
    </row>
    <row r="24" spans="2:10" ht="13.5" customHeight="1" x14ac:dyDescent="0.4">
      <c r="B24" s="78" t="str">
        <f>Allocation!B18</f>
        <v>Resid Hi Perim</v>
      </c>
      <c r="C24" s="78" t="str">
        <f>Allocation!AF18</f>
        <v>Foam</v>
      </c>
      <c r="D24" s="79">
        <v>6000</v>
      </c>
      <c r="E24" s="80"/>
      <c r="F24" s="81">
        <f>Allocation!AC18</f>
        <v>0.34650513222962054</v>
      </c>
      <c r="G24" s="81">
        <f>Allocation!AD18</f>
        <v>0.57730779894810003</v>
      </c>
      <c r="H24" s="81">
        <f>Allocation!AE18</f>
        <v>7.6187068822279477E-2</v>
      </c>
      <c r="I24" s="82">
        <f>F24*Allocation!$J$2+G24*Allocation!$K$2+H24*Allocation!$L$2</f>
        <v>80.08747420178571</v>
      </c>
      <c r="J24" s="83">
        <f t="shared" si="0"/>
        <v>815476.87004233734</v>
      </c>
    </row>
    <row r="25" spans="2:10" ht="13.5" customHeight="1" x14ac:dyDescent="0.4">
      <c r="B25" s="78" t="str">
        <f>Allocation!B19</f>
        <v>Resid Hi Core</v>
      </c>
      <c r="C25" s="78" t="str">
        <f>Allocation!AF19</f>
        <v>Skin</v>
      </c>
      <c r="D25" s="79">
        <v>3000</v>
      </c>
      <c r="E25" s="80"/>
      <c r="F25" s="81">
        <f>Allocation!AC19</f>
        <v>0.4026245916903054</v>
      </c>
      <c r="G25" s="81">
        <f>Allocation!AD19</f>
        <v>0.27182914109378559</v>
      </c>
      <c r="H25" s="81">
        <f>Allocation!AE19</f>
        <v>0.3255462672159089</v>
      </c>
      <c r="I25" s="82">
        <f>F25*Allocation!$J$2+G25*Allocation!$K$2+H25*Allocation!$L$2</f>
        <v>65.5575333415876</v>
      </c>
      <c r="J25" s="83">
        <f t="shared" si="0"/>
        <v>473551.82996066427</v>
      </c>
    </row>
    <row r="26" spans="2:10" ht="13.5" customHeight="1" x14ac:dyDescent="0.4">
      <c r="B26" s="78" t="str">
        <f>Allocation!B20</f>
        <v>SkyLobby Hi</v>
      </c>
      <c r="C26" s="78" t="str">
        <f>Allocation!AF20</f>
        <v>Foam</v>
      </c>
      <c r="D26" s="79">
        <v>1000</v>
      </c>
      <c r="E26" s="80"/>
      <c r="F26" s="81">
        <f>Allocation!AC20</f>
        <v>0.34764763444954971</v>
      </c>
      <c r="G26" s="81">
        <f>Allocation!AD20</f>
        <v>0.5180893695427008</v>
      </c>
      <c r="H26" s="81">
        <f>Allocation!AE20</f>
        <v>0.13426299600774949</v>
      </c>
      <c r="I26" s="82">
        <f>F26*Allocation!$J$2+G26*Allocation!$K$2+H26*Allocation!$L$2</f>
        <v>76.783953444025755</v>
      </c>
      <c r="J26" s="83">
        <f t="shared" si="0"/>
        <v>140652.37934456373</v>
      </c>
    </row>
    <row r="27" spans="2:10" ht="13.5" customHeight="1" x14ac:dyDescent="0.4">
      <c r="B27" s="78" t="str">
        <f>Allocation!B21</f>
        <v>Office Super Core</v>
      </c>
      <c r="C27" s="78" t="str">
        <f>Allocation!AF21</f>
        <v>Internal</v>
      </c>
      <c r="D27" s="79">
        <v>3000</v>
      </c>
      <c r="E27" s="80"/>
      <c r="F27" s="81">
        <f>Allocation!AC21</f>
        <v>0.30901791120567845</v>
      </c>
      <c r="G27" s="81">
        <f>Allocation!AD21</f>
        <v>3.2083669326249412E-2</v>
      </c>
      <c r="H27" s="81">
        <f>Allocation!AE21</f>
        <v>0.65889841946807215</v>
      </c>
      <c r="I27" s="82">
        <f>F27*Allocation!$J$2+G27*Allocation!$K$2+H27*Allocation!$L$2</f>
        <v>47.271643794548581</v>
      </c>
      <c r="J27" s="83">
        <f t="shared" si="0"/>
        <v>545850.98167286965</v>
      </c>
    </row>
    <row r="28" spans="2:10" ht="13.5" customHeight="1" x14ac:dyDescent="0.4">
      <c r="B28" s="78" t="str">
        <f>Allocation!B22</f>
        <v>Office Super S-Perim</v>
      </c>
      <c r="C28" s="78" t="str">
        <f>Allocation!AF22</f>
        <v>Skin</v>
      </c>
      <c r="D28" s="79">
        <v>1500</v>
      </c>
      <c r="E28" s="80"/>
      <c r="F28" s="81">
        <f>Allocation!AC22</f>
        <v>0.90595009082989353</v>
      </c>
      <c r="G28" s="81">
        <f>Allocation!AD22</f>
        <v>1.9994206377728186E-2</v>
      </c>
      <c r="H28" s="81">
        <f>Allocation!AE22</f>
        <v>7.405570279237822E-2</v>
      </c>
      <c r="I28" s="82">
        <f>F28*Allocation!$J$2+G28*Allocation!$K$2+H28*Allocation!$L$2</f>
        <v>76.432175753430741</v>
      </c>
      <c r="J28" s="83">
        <f t="shared" si="0"/>
        <v>229624.44711286397</v>
      </c>
    </row>
    <row r="29" spans="2:10" ht="13.5" customHeight="1" x14ac:dyDescent="0.4">
      <c r="B29" s="78" t="str">
        <f>Allocation!B23</f>
        <v>Core Spine Full</v>
      </c>
      <c r="C29" s="78" t="str">
        <f>Allocation!AF23</f>
        <v>Internal</v>
      </c>
      <c r="D29" s="79">
        <v>4000</v>
      </c>
      <c r="E29" s="80"/>
      <c r="F29" s="81">
        <f>Allocation!AC23</f>
        <v>0.23134829173917015</v>
      </c>
      <c r="G29" s="81">
        <f>Allocation!AD23</f>
        <v>2.33656753819209E-2</v>
      </c>
      <c r="H29" s="81">
        <f>Allocation!AE23</f>
        <v>0.74528603287890893</v>
      </c>
      <c r="I29" s="82">
        <f>F29*Allocation!$J$2+G29*Allocation!$K$2+H29*Allocation!$L$2</f>
        <v>42.893416664882523</v>
      </c>
      <c r="J29" s="83">
        <f t="shared" si="0"/>
        <v>746159.86282842362</v>
      </c>
    </row>
    <row r="30" spans="2:10" ht="13.5" customHeight="1" x14ac:dyDescent="0.4">
      <c r="B30" s="78" t="str">
        <f>Allocation!B24</f>
        <v>South Facade Hi</v>
      </c>
      <c r="C30" s="78" t="str">
        <f>Allocation!AF24</f>
        <v>Skin</v>
      </c>
      <c r="D30" s="79">
        <v>1500</v>
      </c>
      <c r="E30" s="80"/>
      <c r="F30" s="81">
        <f>Allocation!AC24</f>
        <v>0.71334143187359611</v>
      </c>
      <c r="G30" s="81">
        <f>Allocation!AD24</f>
        <v>0.26537653081553314</v>
      </c>
      <c r="H30" s="81">
        <f>Allocation!AE24</f>
        <v>2.1282037310870638E-2</v>
      </c>
      <c r="I30" s="82">
        <f>F30*Allocation!$J$2+G30*Allocation!$K$2+H30*Allocation!$L$2</f>
        <v>80.727189717461314</v>
      </c>
      <c r="J30" s="83">
        <f t="shared" si="0"/>
        <v>214256.14411539302</v>
      </c>
    </row>
    <row r="31" spans="2:10" ht="13.5" customHeight="1" x14ac:dyDescent="0.4">
      <c r="B31" s="78" t="str">
        <f>Allocation!B25</f>
        <v>West Facade Mid</v>
      </c>
      <c r="C31" s="78" t="str">
        <f>Allocation!AF25</f>
        <v>Skin</v>
      </c>
      <c r="D31" s="79">
        <v>1200</v>
      </c>
      <c r="E31" s="80"/>
      <c r="F31" s="81">
        <f>Allocation!AC25</f>
        <v>0.71334143187359611</v>
      </c>
      <c r="G31" s="81">
        <f>Allocation!AD25</f>
        <v>0.26537653081553314</v>
      </c>
      <c r="H31" s="81">
        <f>Allocation!AE25</f>
        <v>2.1282037310870638E-2</v>
      </c>
      <c r="I31" s="82">
        <f>F31*Allocation!$J$2+G31*Allocation!$K$2+H31*Allocation!$L$2</f>
        <v>80.727189717461314</v>
      </c>
      <c r="J31" s="83">
        <f t="shared" si="0"/>
        <v>171404.91529231443</v>
      </c>
    </row>
    <row r="32" spans="2:10" ht="13.5" customHeight="1" x14ac:dyDescent="0.4">
      <c r="B32" s="78" t="str">
        <f>Allocation!B26</f>
        <v>Atrium Full</v>
      </c>
      <c r="C32" s="78" t="str">
        <f>Allocation!AF26</f>
        <v>Foam</v>
      </c>
      <c r="D32" s="79">
        <v>1500</v>
      </c>
      <c r="E32" s="80"/>
      <c r="F32" s="81">
        <f>Allocation!AC26</f>
        <v>0.3970243100125781</v>
      </c>
      <c r="G32" s="81">
        <f>Allocation!AD26</f>
        <v>0.51138488847803931</v>
      </c>
      <c r="H32" s="81">
        <f>Allocation!AE26</f>
        <v>9.1590801509382438E-2</v>
      </c>
      <c r="I32" s="82">
        <f>F32*Allocation!$J$2+G32*Allocation!$K$2+H32*Allocation!$L$2</f>
        <v>78.872307921757624</v>
      </c>
      <c r="J32" s="83">
        <f t="shared" si="0"/>
        <v>208089.91279897484</v>
      </c>
    </row>
    <row r="33" spans="2:10" ht="13.5" customHeight="1" x14ac:dyDescent="0.4">
      <c r="B33" s="78" t="str">
        <f>Allocation!B27</f>
        <v>MEP Floor Hi</v>
      </c>
      <c r="C33" s="78" t="str">
        <f>Allocation!AF27</f>
        <v>Internal</v>
      </c>
      <c r="D33" s="79">
        <v>1200</v>
      </c>
      <c r="E33" s="80"/>
      <c r="F33" s="81">
        <f>Allocation!AC27</f>
        <v>0.1641146839965088</v>
      </c>
      <c r="G33" s="81">
        <f>Allocation!AD27</f>
        <v>0.20934178556177563</v>
      </c>
      <c r="H33" s="81">
        <f>Allocation!AE27</f>
        <v>0.62654353044171562</v>
      </c>
      <c r="I33" s="82">
        <f>F33*Allocation!$J$2+G33*Allocation!$K$2+H33*Allocation!$L$2</f>
        <v>50.085880530456208</v>
      </c>
      <c r="J33" s="83">
        <f t="shared" si="0"/>
        <v>209805.09740360492</v>
      </c>
    </row>
    <row r="34" spans="2:10" ht="13.5" customHeight="1" x14ac:dyDescent="0.4">
      <c r="B34" s="78" t="str">
        <f>Allocation!B28</f>
        <v>Roof Canopy Hi</v>
      </c>
      <c r="C34" s="78" t="str">
        <f>Allocation!AF28</f>
        <v>Foam</v>
      </c>
      <c r="D34" s="79">
        <v>1200</v>
      </c>
      <c r="E34" s="80"/>
      <c r="F34" s="81">
        <f>Allocation!AC28</f>
        <v>0.3786315432308604</v>
      </c>
      <c r="G34" s="81">
        <f>Allocation!AD28</f>
        <v>0.54804380365214389</v>
      </c>
      <c r="H34" s="81">
        <f>Allocation!AE28</f>
        <v>7.3324653116995653E-2</v>
      </c>
      <c r="I34" s="82">
        <f>F34*Allocation!$J$2+G34*Allocation!$K$2+H34*Allocation!$L$2</f>
        <v>80.033063018802196</v>
      </c>
      <c r="J34" s="83">
        <f t="shared" si="0"/>
        <v>164012.24969115999</v>
      </c>
    </row>
    <row r="35" spans="2:10" ht="13.5" customHeight="1" x14ac:dyDescent="0.4">
      <c r="B35" s="78" t="str">
        <f>Allocation!B29</f>
        <v>Warehouse Lo</v>
      </c>
      <c r="C35" s="78" t="str">
        <f>Allocation!AF29</f>
        <v>Internal</v>
      </c>
      <c r="D35" s="79">
        <v>2000</v>
      </c>
      <c r="E35" s="80"/>
      <c r="F35" s="81">
        <f>Allocation!AC29</f>
        <v>0.12714954921381802</v>
      </c>
      <c r="G35" s="81">
        <f>Allocation!AD29</f>
        <v>0.42347265652940674</v>
      </c>
      <c r="H35" s="81">
        <f>Allocation!AE29</f>
        <v>0.44937779425677515</v>
      </c>
      <c r="I35" s="82">
        <f>F35*Allocation!$J$2+G35*Allocation!$K$2+H35*Allocation!$L$2</f>
        <v>60.389550718734725</v>
      </c>
      <c r="J35" s="83">
        <f t="shared" si="0"/>
        <v>318682.47472085431</v>
      </c>
    </row>
    <row r="36" spans="2:10" ht="13.5" customHeight="1" x14ac:dyDescent="0.4">
      <c r="B36" s="78" t="str">
        <f>Allocation!B30</f>
        <v>Healthcare Mid</v>
      </c>
      <c r="C36" s="78" t="str">
        <f>Allocation!AF30</f>
        <v>Foam</v>
      </c>
      <c r="D36" s="79">
        <v>3000</v>
      </c>
      <c r="E36" s="80"/>
      <c r="F36" s="81">
        <f>Allocation!AC30</f>
        <v>0.34751613663460279</v>
      </c>
      <c r="G36" s="81">
        <f>Allocation!AD30</f>
        <v>0.36889610556209679</v>
      </c>
      <c r="H36" s="81">
        <f>Allocation!AE30</f>
        <v>0.28358775780330031</v>
      </c>
      <c r="I36" s="82">
        <f>F36*Allocation!$J$2+G36*Allocation!$K$2+H36*Allocation!$L$2</f>
        <v>68.310660822379134</v>
      </c>
      <c r="J36" s="83">
        <f t="shared" si="0"/>
        <v>458230.82585321995</v>
      </c>
    </row>
  </sheetData>
  <mergeCells count="2">
    <mergeCell ref="B1:I1"/>
    <mergeCell ref="B2:I2"/>
  </mergeCells>
  <phoneticPr fontId="4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T51"/>
  <sheetViews>
    <sheetView showGridLines="0" zoomScaleNormal="100" workbookViewId="0"/>
  </sheetViews>
  <sheetFormatPr defaultColWidth="8.69140625" defaultRowHeight="14.6" x14ac:dyDescent="0.4"/>
  <cols>
    <col min="1" max="1" width="2" customWidth="1"/>
    <col min="2" max="3" width="22" customWidth="1"/>
    <col min="4" max="5" width="8" customWidth="1"/>
    <col min="6" max="6" width="5" customWidth="1"/>
    <col min="7" max="7" width="14" customWidth="1"/>
    <col min="8" max="9" width="5" customWidth="1"/>
    <col min="10" max="10" width="6" customWidth="1"/>
    <col min="11" max="11" width="14" customWidth="1"/>
    <col min="12" max="12" width="32" customWidth="1"/>
    <col min="13" max="13" width="9" customWidth="1"/>
    <col min="14" max="15" width="8" customWidth="1"/>
    <col min="16" max="20" width="7" customWidth="1"/>
  </cols>
  <sheetData>
    <row r="1" spans="2:20" ht="24" customHeight="1" x14ac:dyDescent="0.4">
      <c r="B1" s="6" t="s">
        <v>269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2:20" ht="15" customHeight="1" x14ac:dyDescent="0.4">
      <c r="B2" s="8" t="s">
        <v>270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2:20" x14ac:dyDescent="0.4">
      <c r="B4" s="49" t="s">
        <v>271</v>
      </c>
      <c r="C4" s="85" t="s">
        <v>272</v>
      </c>
      <c r="D4" s="38">
        <v>0.4</v>
      </c>
      <c r="E4" s="85" t="s">
        <v>273</v>
      </c>
      <c r="F4" s="38">
        <v>0.2</v>
      </c>
      <c r="G4" s="85" t="s">
        <v>274</v>
      </c>
      <c r="H4" s="38">
        <v>0.2</v>
      </c>
      <c r="I4" s="85" t="s">
        <v>275</v>
      </c>
      <c r="J4" s="38">
        <v>0.2</v>
      </c>
      <c r="L4" s="85" t="s">
        <v>276</v>
      </c>
      <c r="M4" s="86">
        <f>D4+F4+H4+J4</f>
        <v>1</v>
      </c>
    </row>
    <row r="5" spans="2:20" x14ac:dyDescent="0.4">
      <c r="B5" s="49" t="s">
        <v>277</v>
      </c>
      <c r="C5" s="85" t="s">
        <v>267</v>
      </c>
      <c r="D5" s="87">
        <v>30</v>
      </c>
      <c r="E5" s="85" t="s">
        <v>278</v>
      </c>
      <c r="F5" s="87">
        <v>8</v>
      </c>
      <c r="G5" s="85" t="s">
        <v>279</v>
      </c>
      <c r="H5" s="87">
        <v>8</v>
      </c>
    </row>
    <row r="7" spans="2:20" x14ac:dyDescent="0.4">
      <c r="B7" s="88" t="s">
        <v>280</v>
      </c>
      <c r="G7" s="88" t="s">
        <v>281</v>
      </c>
      <c r="L7" s="88" t="s">
        <v>282</v>
      </c>
      <c r="Q7" s="88" t="s">
        <v>283</v>
      </c>
    </row>
    <row r="8" spans="2:20" x14ac:dyDescent="0.4">
      <c r="B8" s="54" t="s">
        <v>284</v>
      </c>
      <c r="C8" s="54" t="s">
        <v>207</v>
      </c>
      <c r="D8" s="54" t="s">
        <v>208</v>
      </c>
      <c r="E8" s="54" t="s">
        <v>260</v>
      </c>
      <c r="G8" s="54" t="s">
        <v>284</v>
      </c>
      <c r="H8" s="54" t="s">
        <v>207</v>
      </c>
      <c r="I8" s="54" t="s">
        <v>208</v>
      </c>
      <c r="J8" s="54" t="s">
        <v>260</v>
      </c>
      <c r="L8" s="54" t="s">
        <v>284</v>
      </c>
      <c r="M8" s="54" t="s">
        <v>207</v>
      </c>
      <c r="N8" s="54" t="s">
        <v>208</v>
      </c>
      <c r="O8" s="54" t="s">
        <v>260</v>
      </c>
      <c r="Q8" s="54" t="s">
        <v>284</v>
      </c>
      <c r="R8" s="54" t="s">
        <v>207</v>
      </c>
      <c r="S8" s="54" t="s">
        <v>208</v>
      </c>
      <c r="T8" s="54" t="s">
        <v>260</v>
      </c>
    </row>
    <row r="9" spans="2:20" x14ac:dyDescent="0.4">
      <c r="B9" s="23" t="s">
        <v>207</v>
      </c>
      <c r="C9" s="58">
        <v>0</v>
      </c>
      <c r="D9" s="58">
        <v>4</v>
      </c>
      <c r="E9" s="58">
        <v>5</v>
      </c>
      <c r="G9" s="23" t="s">
        <v>207</v>
      </c>
      <c r="H9" s="58">
        <v>2</v>
      </c>
      <c r="I9" s="58">
        <v>5</v>
      </c>
      <c r="J9" s="58">
        <v>4</v>
      </c>
      <c r="L9" s="23" t="s">
        <v>207</v>
      </c>
      <c r="M9" s="58">
        <v>0</v>
      </c>
      <c r="N9" s="58">
        <v>3</v>
      </c>
      <c r="O9" s="58">
        <v>2</v>
      </c>
      <c r="Q9" s="23" t="s">
        <v>207</v>
      </c>
      <c r="R9" s="58">
        <v>0</v>
      </c>
      <c r="S9" s="58">
        <v>4</v>
      </c>
      <c r="T9" s="58">
        <v>5</v>
      </c>
    </row>
    <row r="10" spans="2:20" x14ac:dyDescent="0.4">
      <c r="B10" s="23" t="s">
        <v>208</v>
      </c>
      <c r="C10" s="58">
        <v>4</v>
      </c>
      <c r="D10" s="58">
        <v>0</v>
      </c>
      <c r="E10" s="58">
        <v>3</v>
      </c>
      <c r="G10" s="23" t="s">
        <v>208</v>
      </c>
      <c r="H10" s="58">
        <v>5</v>
      </c>
      <c r="I10" s="58">
        <v>2</v>
      </c>
      <c r="J10" s="58">
        <v>4</v>
      </c>
      <c r="L10" s="23" t="s">
        <v>208</v>
      </c>
      <c r="M10" s="58">
        <v>3</v>
      </c>
      <c r="N10" s="58">
        <v>0</v>
      </c>
      <c r="O10" s="58">
        <v>5</v>
      </c>
      <c r="Q10" s="23" t="s">
        <v>208</v>
      </c>
      <c r="R10" s="58">
        <v>4</v>
      </c>
      <c r="S10" s="58">
        <v>0</v>
      </c>
      <c r="T10" s="58">
        <v>5</v>
      </c>
    </row>
    <row r="11" spans="2:20" x14ac:dyDescent="0.4">
      <c r="B11" s="23" t="s">
        <v>260</v>
      </c>
      <c r="C11" s="58">
        <v>5</v>
      </c>
      <c r="D11" s="58">
        <v>3</v>
      </c>
      <c r="E11" s="58">
        <v>0</v>
      </c>
      <c r="G11" s="23" t="s">
        <v>260</v>
      </c>
      <c r="H11" s="58">
        <v>4</v>
      </c>
      <c r="I11" s="58">
        <v>4</v>
      </c>
      <c r="J11" s="58">
        <v>0</v>
      </c>
      <c r="L11" s="23" t="s">
        <v>260</v>
      </c>
      <c r="M11" s="58">
        <v>2</v>
      </c>
      <c r="N11" s="58">
        <v>5</v>
      </c>
      <c r="O11" s="58">
        <v>0</v>
      </c>
      <c r="Q11" s="23" t="s">
        <v>260</v>
      </c>
      <c r="R11" s="58">
        <v>5</v>
      </c>
      <c r="S11" s="58">
        <v>5</v>
      </c>
      <c r="T11" s="58">
        <v>0</v>
      </c>
    </row>
    <row r="13" spans="2:20" ht="24" customHeight="1" x14ac:dyDescent="0.4">
      <c r="B13" s="23" t="s">
        <v>285</v>
      </c>
      <c r="C13" s="23" t="s">
        <v>286</v>
      </c>
      <c r="D13" s="23" t="s">
        <v>287</v>
      </c>
      <c r="E13" s="23" t="s">
        <v>288</v>
      </c>
      <c r="F13" s="23" t="s">
        <v>289</v>
      </c>
      <c r="G13" s="23" t="s">
        <v>290</v>
      </c>
      <c r="H13" s="23" t="s">
        <v>274</v>
      </c>
      <c r="I13" s="23" t="s">
        <v>58</v>
      </c>
      <c r="J13" s="23" t="s">
        <v>291</v>
      </c>
      <c r="K13" s="23" t="s">
        <v>292</v>
      </c>
      <c r="L13" s="23" t="s">
        <v>293</v>
      </c>
      <c r="M13" s="23" t="s">
        <v>294</v>
      </c>
      <c r="N13" s="23" t="s">
        <v>295</v>
      </c>
      <c r="O13" s="23" t="s">
        <v>296</v>
      </c>
    </row>
    <row r="14" spans="2:20" ht="21.75" customHeight="1" x14ac:dyDescent="0.4">
      <c r="B14" s="89" t="s">
        <v>225</v>
      </c>
      <c r="C14" s="89" t="s">
        <v>215</v>
      </c>
      <c r="D14" s="78" t="str">
        <f>INDEX(Allocation!$AF$5:$AF$30,MATCH(B14,Allocation!$B$5:$B$30,0))</f>
        <v>Skin</v>
      </c>
      <c r="E14" s="78" t="str">
        <f>INDEX(Allocation!$AF$5:$AF$30,MATCH(C14,Allocation!$B$5:$B$30,0))</f>
        <v>Foam</v>
      </c>
      <c r="F14" s="56">
        <f t="shared" ref="F14:F21" si="0">INDEX($C$9:$E$11,MATCH(D14,$B$9:$B$11,0),MATCH(E14,$C$8:$E$8,0))</f>
        <v>4</v>
      </c>
      <c r="G14" s="56">
        <f t="shared" ref="G14:G21" si="1">INDEX($H$9:$J$11,MATCH(D14,$G$9:$G$11,0),MATCH(E14,$H$8:$J$8,0))</f>
        <v>5</v>
      </c>
      <c r="H14" s="56">
        <f t="shared" ref="H14:H21" si="2">INDEX($M$9:$O$11,MATCH(D14,$L$9:$L$11,0),MATCH(E14,$M$8:$O$8,0))</f>
        <v>3</v>
      </c>
      <c r="I14" s="56">
        <f t="shared" ref="I14:I21" si="3">INDEX($R$9:$T$11,MATCH(D14,$Q$9:$Q$11,0),MATCH(E14,$R$8:$T$8,0))</f>
        <v>4</v>
      </c>
      <c r="J14" s="90">
        <f t="shared" ref="J14:J21" si="4">($D$4*F14+$F$4*G14+$H$4*H14+$J$4*I14)*20</f>
        <v>80</v>
      </c>
      <c r="K14" s="55" t="str">
        <f t="shared" ref="K14:K21" si="5">IF(J14&lt;20,"Seamless",IF(J14&lt;40,"Minor",IF(J14&lt;60,"Moderate",IF(J14&lt;80,"Complex","Critical"))))</f>
        <v>Critical</v>
      </c>
      <c r="L14" s="29" t="str">
        <f t="shared" ref="L14:L21" si="6">IF(D14=E14,"Continuous (no transfer)",IF(OR(AND(D14="Internal",E14="Foam"),AND(D14="Foam",E14="Internal")),"Transfer Slab / Beam / Mega Beam",IF(OR(AND(D14="Internal",E14="Skin"),AND(D14="Skin",E14="Internal")),"Belt Truss / Outrigger / Transfer Floor","Hybrid Node / Space-frame Connector / Diagrid Connector")))</f>
        <v>Hybrid Node / Space-frame Connector / Diagrid Connector</v>
      </c>
      <c r="M14" s="60">
        <f t="shared" ref="M14:M21" si="7">J14/100*$D$5</f>
        <v>24</v>
      </c>
      <c r="N14" s="60">
        <f t="shared" ref="N14:N21" si="8">J14/100*$F$5</f>
        <v>6.4</v>
      </c>
      <c r="O14" s="60">
        <f t="shared" ref="O14:O21" si="9">J14/100*$H$5</f>
        <v>6.4</v>
      </c>
    </row>
    <row r="15" spans="2:20" ht="21.75" customHeight="1" x14ac:dyDescent="0.4">
      <c r="B15" s="89" t="s">
        <v>227</v>
      </c>
      <c r="C15" s="89" t="s">
        <v>219</v>
      </c>
      <c r="D15" s="78" t="str">
        <f>INDEX(Allocation!$AF$5:$AF$30,MATCH(B15,Allocation!$B$5:$B$30,0))</f>
        <v>Internal</v>
      </c>
      <c r="E15" s="78" t="str">
        <f>INDEX(Allocation!$AF$5:$AF$30,MATCH(C15,Allocation!$B$5:$B$30,0))</f>
        <v>Internal</v>
      </c>
      <c r="F15" s="56">
        <f t="shared" si="0"/>
        <v>0</v>
      </c>
      <c r="G15" s="56">
        <f t="shared" si="1"/>
        <v>0</v>
      </c>
      <c r="H15" s="56">
        <f t="shared" si="2"/>
        <v>0</v>
      </c>
      <c r="I15" s="56">
        <f t="shared" si="3"/>
        <v>0</v>
      </c>
      <c r="J15" s="90">
        <f t="shared" si="4"/>
        <v>0</v>
      </c>
      <c r="K15" s="55" t="str">
        <f t="shared" si="5"/>
        <v>Seamless</v>
      </c>
      <c r="L15" s="29" t="str">
        <f t="shared" si="6"/>
        <v>Continuous (no transfer)</v>
      </c>
      <c r="M15" s="60">
        <f t="shared" si="7"/>
        <v>0</v>
      </c>
      <c r="N15" s="60">
        <f t="shared" si="8"/>
        <v>0</v>
      </c>
      <c r="O15" s="60">
        <f t="shared" si="9"/>
        <v>0</v>
      </c>
    </row>
    <row r="16" spans="2:20" ht="21.75" customHeight="1" x14ac:dyDescent="0.4">
      <c r="B16" s="89" t="s">
        <v>233</v>
      </c>
      <c r="C16" s="89" t="s">
        <v>227</v>
      </c>
      <c r="D16" s="78" t="str">
        <f>INDEX(Allocation!$AF$5:$AF$30,MATCH(B16,Allocation!$B$5:$B$30,0))</f>
        <v>Internal</v>
      </c>
      <c r="E16" s="78" t="str">
        <f>INDEX(Allocation!$AF$5:$AF$30,MATCH(C16,Allocation!$B$5:$B$30,0))</f>
        <v>Internal</v>
      </c>
      <c r="F16" s="56">
        <f t="shared" si="0"/>
        <v>0</v>
      </c>
      <c r="G16" s="56">
        <f t="shared" si="1"/>
        <v>0</v>
      </c>
      <c r="H16" s="56">
        <f t="shared" si="2"/>
        <v>0</v>
      </c>
      <c r="I16" s="56">
        <f t="shared" si="3"/>
        <v>0</v>
      </c>
      <c r="J16" s="90">
        <f t="shared" si="4"/>
        <v>0</v>
      </c>
      <c r="K16" s="55" t="str">
        <f t="shared" si="5"/>
        <v>Seamless</v>
      </c>
      <c r="L16" s="29" t="str">
        <f t="shared" si="6"/>
        <v>Continuous (no transfer)</v>
      </c>
      <c r="M16" s="60">
        <f t="shared" si="7"/>
        <v>0</v>
      </c>
      <c r="N16" s="60">
        <f t="shared" si="8"/>
        <v>0</v>
      </c>
      <c r="O16" s="60">
        <f t="shared" si="9"/>
        <v>0</v>
      </c>
    </row>
    <row r="17" spans="2:15" ht="21.75" customHeight="1" x14ac:dyDescent="0.4">
      <c r="B17" s="89" t="s">
        <v>238</v>
      </c>
      <c r="C17" s="89" t="s">
        <v>233</v>
      </c>
      <c r="D17" s="78" t="str">
        <f>INDEX(Allocation!$AF$5:$AF$30,MATCH(B17,Allocation!$B$5:$B$30,0))</f>
        <v>Internal</v>
      </c>
      <c r="E17" s="78" t="str">
        <f>INDEX(Allocation!$AF$5:$AF$30,MATCH(C17,Allocation!$B$5:$B$30,0))</f>
        <v>Internal</v>
      </c>
      <c r="F17" s="56">
        <f t="shared" si="0"/>
        <v>0</v>
      </c>
      <c r="G17" s="56">
        <f t="shared" si="1"/>
        <v>0</v>
      </c>
      <c r="H17" s="56">
        <f t="shared" si="2"/>
        <v>0</v>
      </c>
      <c r="I17" s="56">
        <f t="shared" si="3"/>
        <v>0</v>
      </c>
      <c r="J17" s="90">
        <f t="shared" si="4"/>
        <v>0</v>
      </c>
      <c r="K17" s="55" t="str">
        <f t="shared" si="5"/>
        <v>Seamless</v>
      </c>
      <c r="L17" s="29" t="str">
        <f t="shared" si="6"/>
        <v>Continuous (no transfer)</v>
      </c>
      <c r="M17" s="60">
        <f t="shared" si="7"/>
        <v>0</v>
      </c>
      <c r="N17" s="60">
        <f t="shared" si="8"/>
        <v>0</v>
      </c>
      <c r="O17" s="60">
        <f t="shared" si="9"/>
        <v>0</v>
      </c>
    </row>
    <row r="18" spans="2:15" ht="21.75" customHeight="1" x14ac:dyDescent="0.4">
      <c r="B18" s="89" t="s">
        <v>232</v>
      </c>
      <c r="C18" s="89" t="s">
        <v>241</v>
      </c>
      <c r="D18" s="78" t="str">
        <f>INDEX(Allocation!$AF$5:$AF$30,MATCH(B18,Allocation!$B$5:$B$30,0))</f>
        <v>Skin</v>
      </c>
      <c r="E18" s="78" t="str">
        <f>INDEX(Allocation!$AF$5:$AF$30,MATCH(C18,Allocation!$B$5:$B$30,0))</f>
        <v>Internal</v>
      </c>
      <c r="F18" s="56">
        <f t="shared" si="0"/>
        <v>5</v>
      </c>
      <c r="G18" s="56">
        <f t="shared" si="1"/>
        <v>4</v>
      </c>
      <c r="H18" s="56">
        <f t="shared" si="2"/>
        <v>2</v>
      </c>
      <c r="I18" s="56">
        <f t="shared" si="3"/>
        <v>5</v>
      </c>
      <c r="J18" s="90">
        <f t="shared" si="4"/>
        <v>83.999999999999986</v>
      </c>
      <c r="K18" s="55" t="str">
        <f t="shared" si="5"/>
        <v>Critical</v>
      </c>
      <c r="L18" s="29" t="str">
        <f t="shared" si="6"/>
        <v>Belt Truss / Outrigger / Transfer Floor</v>
      </c>
      <c r="M18" s="60">
        <f t="shared" si="7"/>
        <v>25.199999999999996</v>
      </c>
      <c r="N18" s="60">
        <f t="shared" si="8"/>
        <v>6.7199999999999989</v>
      </c>
      <c r="O18" s="60">
        <f t="shared" si="9"/>
        <v>6.7199999999999989</v>
      </c>
    </row>
    <row r="19" spans="2:15" ht="21.75" customHeight="1" x14ac:dyDescent="0.4">
      <c r="B19" s="89" t="s">
        <v>232</v>
      </c>
      <c r="C19" s="89" t="s">
        <v>233</v>
      </c>
      <c r="D19" s="78" t="str">
        <f>INDEX(Allocation!$AF$5:$AF$30,MATCH(B19,Allocation!$B$5:$B$30,0))</f>
        <v>Skin</v>
      </c>
      <c r="E19" s="78" t="str">
        <f>INDEX(Allocation!$AF$5:$AF$30,MATCH(C19,Allocation!$B$5:$B$30,0))</f>
        <v>Internal</v>
      </c>
      <c r="F19" s="56">
        <f t="shared" si="0"/>
        <v>5</v>
      </c>
      <c r="G19" s="56">
        <f t="shared" si="1"/>
        <v>4</v>
      </c>
      <c r="H19" s="56">
        <f t="shared" si="2"/>
        <v>2</v>
      </c>
      <c r="I19" s="56">
        <f t="shared" si="3"/>
        <v>5</v>
      </c>
      <c r="J19" s="90">
        <f t="shared" si="4"/>
        <v>83.999999999999986</v>
      </c>
      <c r="K19" s="55" t="str">
        <f t="shared" si="5"/>
        <v>Critical</v>
      </c>
      <c r="L19" s="29" t="str">
        <f t="shared" si="6"/>
        <v>Belt Truss / Outrigger / Transfer Floor</v>
      </c>
      <c r="M19" s="60">
        <f t="shared" si="7"/>
        <v>25.199999999999996</v>
      </c>
      <c r="N19" s="60">
        <f t="shared" si="8"/>
        <v>6.7199999999999989</v>
      </c>
      <c r="O19" s="60">
        <f t="shared" si="9"/>
        <v>6.7199999999999989</v>
      </c>
    </row>
    <row r="20" spans="2:15" ht="21.75" customHeight="1" x14ac:dyDescent="0.4">
      <c r="B20" s="89" t="s">
        <v>235</v>
      </c>
      <c r="C20" s="89" t="s">
        <v>233</v>
      </c>
      <c r="D20" s="78" t="str">
        <f>INDEX(Allocation!$AF$5:$AF$30,MATCH(B20,Allocation!$B$5:$B$30,0))</f>
        <v>Skin</v>
      </c>
      <c r="E20" s="78" t="str">
        <f>INDEX(Allocation!$AF$5:$AF$30,MATCH(C20,Allocation!$B$5:$B$30,0))</f>
        <v>Internal</v>
      </c>
      <c r="F20" s="56">
        <f t="shared" si="0"/>
        <v>5</v>
      </c>
      <c r="G20" s="56">
        <f t="shared" si="1"/>
        <v>4</v>
      </c>
      <c r="H20" s="56">
        <f t="shared" si="2"/>
        <v>2</v>
      </c>
      <c r="I20" s="56">
        <f t="shared" si="3"/>
        <v>5</v>
      </c>
      <c r="J20" s="90">
        <f t="shared" si="4"/>
        <v>83.999999999999986</v>
      </c>
      <c r="K20" s="55" t="str">
        <f t="shared" si="5"/>
        <v>Critical</v>
      </c>
      <c r="L20" s="29" t="str">
        <f t="shared" si="6"/>
        <v>Belt Truss / Outrigger / Transfer Floor</v>
      </c>
      <c r="M20" s="60">
        <f t="shared" si="7"/>
        <v>25.199999999999996</v>
      </c>
      <c r="N20" s="60">
        <f t="shared" si="8"/>
        <v>6.7199999999999989</v>
      </c>
      <c r="O20" s="60">
        <f t="shared" si="9"/>
        <v>6.7199999999999989</v>
      </c>
    </row>
    <row r="21" spans="2:15" ht="21.75" customHeight="1" x14ac:dyDescent="0.4">
      <c r="B21" s="89" t="s">
        <v>236</v>
      </c>
      <c r="C21" s="89" t="s">
        <v>232</v>
      </c>
      <c r="D21" s="78" t="str">
        <f>INDEX(Allocation!$AF$5:$AF$30,MATCH(B21,Allocation!$B$5:$B$30,0))</f>
        <v>Foam</v>
      </c>
      <c r="E21" s="78" t="str">
        <f>INDEX(Allocation!$AF$5:$AF$30,MATCH(C21,Allocation!$B$5:$B$30,0))</f>
        <v>Skin</v>
      </c>
      <c r="F21" s="56">
        <f t="shared" si="0"/>
        <v>4</v>
      </c>
      <c r="G21" s="56">
        <f t="shared" si="1"/>
        <v>5</v>
      </c>
      <c r="H21" s="56">
        <f t="shared" si="2"/>
        <v>3</v>
      </c>
      <c r="I21" s="56">
        <f t="shared" si="3"/>
        <v>4</v>
      </c>
      <c r="J21" s="90">
        <f t="shared" si="4"/>
        <v>80</v>
      </c>
      <c r="K21" s="55" t="str">
        <f t="shared" si="5"/>
        <v>Critical</v>
      </c>
      <c r="L21" s="29" t="str">
        <f t="shared" si="6"/>
        <v>Hybrid Node / Space-frame Connector / Diagrid Connector</v>
      </c>
      <c r="M21" s="60">
        <f t="shared" si="7"/>
        <v>24</v>
      </c>
      <c r="N21" s="60">
        <f t="shared" si="8"/>
        <v>6.4</v>
      </c>
      <c r="O21" s="60">
        <f t="shared" si="9"/>
        <v>6.4</v>
      </c>
    </row>
    <row r="24" spans="2:15" x14ac:dyDescent="0.4">
      <c r="B24" s="69" t="s">
        <v>297</v>
      </c>
    </row>
    <row r="25" spans="2:15" ht="66.900000000000006" x14ac:dyDescent="0.4">
      <c r="B25" s="36" t="s">
        <v>17</v>
      </c>
      <c r="C25" s="36" t="s">
        <v>213</v>
      </c>
      <c r="D25" s="36" t="s">
        <v>298</v>
      </c>
      <c r="E25" s="36" t="s">
        <v>299</v>
      </c>
      <c r="F25" s="36" t="s">
        <v>300</v>
      </c>
      <c r="G25" s="36" t="s">
        <v>301</v>
      </c>
      <c r="H25" s="36" t="s">
        <v>302</v>
      </c>
    </row>
    <row r="26" spans="2:15" ht="13.5" customHeight="1" x14ac:dyDescent="0.4">
      <c r="B26" s="78" t="str">
        <f>Allocation!B5</f>
        <v>Retail Lo Perim</v>
      </c>
      <c r="C26" s="91" t="str">
        <f>Allocation!AF5</f>
        <v>Foam</v>
      </c>
      <c r="D26" s="60">
        <f>IF(Allocation!AF5="Skin",Allocation!T5*Allocation!W5,IF(Allocation!AF5="Foam",Allocation!U5*Allocation!X5,Allocation!V5*Allocation!Y5))</f>
        <v>71.612903225806463</v>
      </c>
      <c r="E26" s="82">
        <f>IF(Allocation!AF5="Skin",Allocation!$J$2,IF(Allocation!AF5="Foam",Allocation!$K$2,Allocation!$L$2))</f>
        <v>86.75</v>
      </c>
      <c r="F26" s="82">
        <f>SUMPRODUCT(MAX((($B$14:$B$21=Allocation!B5)+($C$14:$C$21=Allocation!B5))*$J$14:$J$21))</f>
        <v>80</v>
      </c>
      <c r="G26" s="92">
        <f t="shared" ref="G26:G51" si="10">0.5*D26+0.3*E26-0.2*F26</f>
        <v>45.83145161290323</v>
      </c>
      <c r="H26" s="29" t="str">
        <f>IF(F26&gt;=60,IF(Allocation!AH5&lt;0.15,"⚠ High transition + weak lead → align to neighbour","⚠ High transition → needs transfer member"),IF(F26&gt;=40,"△ Moderate transition","✓ Acceptable"))</f>
        <v>⚠ High transition → needs transfer member</v>
      </c>
    </row>
    <row r="27" spans="2:15" ht="13.5" customHeight="1" x14ac:dyDescent="0.4">
      <c r="B27" s="78" t="str">
        <f>Allocation!B6</f>
        <v>Retail Lo Core</v>
      </c>
      <c r="C27" s="91" t="str">
        <f>Allocation!AF6</f>
        <v>Internal</v>
      </c>
      <c r="D27" s="60">
        <f>IF(Allocation!AF6="Skin",Allocation!T6*Allocation!W6,IF(Allocation!AF6="Foam",Allocation!U6*Allocation!X6,Allocation!V6*Allocation!Y6))</f>
        <v>109.16666666666666</v>
      </c>
      <c r="E27" s="82">
        <f>IF(Allocation!AF6="Skin",Allocation!$J$2,IF(Allocation!AF6="Foam",Allocation!$K$2,Allocation!$L$2))</f>
        <v>30</v>
      </c>
      <c r="F27" s="82">
        <f>SUMPRODUCT(MAX((($B$14:$B$21=Allocation!B6)+($C$14:$C$21=Allocation!B6))*$J$14:$J$21))</f>
        <v>0</v>
      </c>
      <c r="G27" s="92">
        <f t="shared" si="10"/>
        <v>63.583333333333329</v>
      </c>
      <c r="H27" s="29" t="str">
        <f>IF(F27&gt;=60,IF(Allocation!AH6&lt;0.15,"⚠ High transition + weak lead → align to neighbour","⚠ High transition → needs transfer member"),IF(F27&gt;=40,"△ Moderate transition","✓ Acceptable"))</f>
        <v>✓ Acceptable</v>
      </c>
    </row>
    <row r="28" spans="2:15" ht="13.5" customHeight="1" x14ac:dyDescent="0.4">
      <c r="B28" s="78" t="str">
        <f>Allocation!B7</f>
        <v>Lobby Lo</v>
      </c>
      <c r="C28" s="91" t="str">
        <f>Allocation!AF7</f>
        <v>Foam</v>
      </c>
      <c r="D28" s="60">
        <f>IF(Allocation!AF7="Skin",Allocation!T7*Allocation!W7,IF(Allocation!AF7="Foam",Allocation!U7*Allocation!X7,Allocation!V7*Allocation!Y7))</f>
        <v>68.965517241379317</v>
      </c>
      <c r="E28" s="82">
        <f>IF(Allocation!AF7="Skin",Allocation!$J$2,IF(Allocation!AF7="Foam",Allocation!$K$2,Allocation!$L$2))</f>
        <v>86.75</v>
      </c>
      <c r="F28" s="82">
        <f>SUMPRODUCT(MAX((($B$14:$B$21=Allocation!B7)+($C$14:$C$21=Allocation!B7))*$J$14:$J$21))</f>
        <v>0</v>
      </c>
      <c r="G28" s="92">
        <f t="shared" si="10"/>
        <v>60.507758620689657</v>
      </c>
      <c r="H28" s="29" t="str">
        <f>IF(F28&gt;=60,IF(Allocation!AH7&lt;0.15,"⚠ High transition + weak lead → align to neighbour","⚠ High transition → needs transfer member"),IF(F28&gt;=40,"△ Moderate transition","✓ Acceptable"))</f>
        <v>✓ Acceptable</v>
      </c>
    </row>
    <row r="29" spans="2:15" ht="13.5" customHeight="1" x14ac:dyDescent="0.4">
      <c r="B29" s="78" t="str">
        <f>Allocation!B8</f>
        <v>Parking Lo</v>
      </c>
      <c r="C29" s="91" t="str">
        <f>Allocation!AF8</f>
        <v>Foam</v>
      </c>
      <c r="D29" s="60">
        <f>IF(Allocation!AF8="Skin",Allocation!T8*Allocation!W8,IF(Allocation!AF8="Foam",Allocation!U8*Allocation!X8,Allocation!V8*Allocation!Y8))</f>
        <v>78.378378378378372</v>
      </c>
      <c r="E29" s="82">
        <f>IF(Allocation!AF8="Skin",Allocation!$J$2,IF(Allocation!AF8="Foam",Allocation!$K$2,Allocation!$L$2))</f>
        <v>86.75</v>
      </c>
      <c r="F29" s="82">
        <f>SUMPRODUCT(MAX((($B$14:$B$21=Allocation!B8)+($C$14:$C$21=Allocation!B8))*$J$14:$J$21))</f>
        <v>0</v>
      </c>
      <c r="G29" s="92">
        <f t="shared" si="10"/>
        <v>65.214189189189185</v>
      </c>
      <c r="H29" s="29" t="str">
        <f>IF(F29&gt;=60,IF(Allocation!AH8&lt;0.15,"⚠ High transition + weak lead → align to neighbour","⚠ High transition → needs transfer member"),IF(F29&gt;=40,"△ Moderate transition","✓ Acceptable"))</f>
        <v>✓ Acceptable</v>
      </c>
    </row>
    <row r="30" spans="2:15" ht="13.5" customHeight="1" x14ac:dyDescent="0.4">
      <c r="B30" s="78" t="str">
        <f>Allocation!B9</f>
        <v>Conference Lo</v>
      </c>
      <c r="C30" s="91" t="str">
        <f>Allocation!AF9</f>
        <v>Foam</v>
      </c>
      <c r="D30" s="60">
        <f>IF(Allocation!AF9="Skin",Allocation!T9*Allocation!W9,IF(Allocation!AF9="Foam",Allocation!U9*Allocation!X9,Allocation!V9*Allocation!Y9))</f>
        <v>72.35294117647058</v>
      </c>
      <c r="E30" s="82">
        <f>IF(Allocation!AF9="Skin",Allocation!$J$2,IF(Allocation!AF9="Foam",Allocation!$K$2,Allocation!$L$2))</f>
        <v>86.75</v>
      </c>
      <c r="F30" s="82">
        <f>SUMPRODUCT(MAX((($B$14:$B$21=Allocation!B9)+($C$14:$C$21=Allocation!B9))*$J$14:$J$21))</f>
        <v>0</v>
      </c>
      <c r="G30" s="92">
        <f t="shared" si="10"/>
        <v>62.201470588235289</v>
      </c>
      <c r="H30" s="29" t="str">
        <f>IF(F30&gt;=60,IF(Allocation!AH9&lt;0.15,"⚠ High transition + weak lead → align to neighbour","⚠ High transition → needs transfer member"),IF(F30&gt;=40,"△ Moderate transition","✓ Acceptable"))</f>
        <v>✓ Acceptable</v>
      </c>
    </row>
    <row r="31" spans="2:15" ht="13.5" customHeight="1" x14ac:dyDescent="0.4">
      <c r="B31" s="78" t="str">
        <f>Allocation!B10</f>
        <v>DataCenter Lo</v>
      </c>
      <c r="C31" s="91" t="str">
        <f>Allocation!AF10</f>
        <v>Internal</v>
      </c>
      <c r="D31" s="60">
        <f>IF(Allocation!AF10="Skin",Allocation!T10*Allocation!W10,IF(Allocation!AF10="Foam",Allocation!U10*Allocation!X10,Allocation!V10*Allocation!Y10))</f>
        <v>105.34117647058825</v>
      </c>
      <c r="E31" s="82">
        <f>IF(Allocation!AF10="Skin",Allocation!$J$2,IF(Allocation!AF10="Foam",Allocation!$K$2,Allocation!$L$2))</f>
        <v>30</v>
      </c>
      <c r="F31" s="82">
        <f>SUMPRODUCT(MAX((($B$14:$B$21=Allocation!B10)+($C$14:$C$21=Allocation!B10))*$J$14:$J$21))</f>
        <v>0</v>
      </c>
      <c r="G31" s="92">
        <f t="shared" si="10"/>
        <v>61.670588235294126</v>
      </c>
      <c r="H31" s="29" t="str">
        <f>IF(F31&gt;=60,IF(Allocation!AH10&lt;0.15,"⚠ High transition + weak lead → align to neighbour","⚠ High transition → needs transfer member"),IF(F31&gt;=40,"△ Moderate transition","✓ Acceptable"))</f>
        <v>✓ Acceptable</v>
      </c>
    </row>
    <row r="32" spans="2:15" ht="13.5" customHeight="1" x14ac:dyDescent="0.4">
      <c r="B32" s="78" t="str">
        <f>Allocation!B11</f>
        <v>Office Mid S-Perim</v>
      </c>
      <c r="C32" s="91" t="str">
        <f>Allocation!AF11</f>
        <v>Skin</v>
      </c>
      <c r="D32" s="60">
        <f>IF(Allocation!AF11="Skin",Allocation!T11*Allocation!W11,IF(Allocation!AF11="Foam",Allocation!U11*Allocation!X11,Allocation!V11*Allocation!Y11))</f>
        <v>83.375</v>
      </c>
      <c r="E32" s="82">
        <f>IF(Allocation!AF11="Skin",Allocation!$J$2,IF(Allocation!AF11="Foam",Allocation!$K$2,Allocation!$L$2))</f>
        <v>80</v>
      </c>
      <c r="F32" s="82">
        <f>SUMPRODUCT(MAX((($B$14:$B$21=Allocation!B11)+($C$14:$C$21=Allocation!B11))*$J$14:$J$21))</f>
        <v>80</v>
      </c>
      <c r="G32" s="92">
        <f t="shared" si="10"/>
        <v>49.6875</v>
      </c>
      <c r="H32" s="29" t="str">
        <f>IF(F32&gt;=60,IF(Allocation!AH11&lt;0.15,"⚠ High transition + weak lead → align to neighbour","⚠ High transition → needs transfer member"),IF(F32&gt;=40,"△ Moderate transition","✓ Acceptable"))</f>
        <v>⚠ High transition → needs transfer member</v>
      </c>
    </row>
    <row r="33" spans="2:8" ht="13.5" customHeight="1" x14ac:dyDescent="0.4">
      <c r="B33" s="78" t="str">
        <f>Allocation!B12</f>
        <v>Office Mid Core</v>
      </c>
      <c r="C33" s="91" t="str">
        <f>Allocation!AF12</f>
        <v>Internal</v>
      </c>
      <c r="D33" s="60">
        <f>IF(Allocation!AF12="Skin",Allocation!T12*Allocation!W12,IF(Allocation!AF12="Foam",Allocation!U12*Allocation!X12,Allocation!V12*Allocation!Y12))</f>
        <v>94.285714285714292</v>
      </c>
      <c r="E33" s="82">
        <f>IF(Allocation!AF12="Skin",Allocation!$J$2,IF(Allocation!AF12="Foam",Allocation!$K$2,Allocation!$L$2))</f>
        <v>30</v>
      </c>
      <c r="F33" s="82">
        <f>SUMPRODUCT(MAX((($B$14:$B$21=Allocation!B12)+($C$14:$C$21=Allocation!B12))*$J$14:$J$21))</f>
        <v>0</v>
      </c>
      <c r="G33" s="92">
        <f t="shared" si="10"/>
        <v>56.142857142857146</v>
      </c>
      <c r="H33" s="29" t="str">
        <f>IF(F33&gt;=60,IF(Allocation!AH12&lt;0.15,"⚠ High transition + weak lead → align to neighbour","⚠ High transition → needs transfer member"),IF(F33&gt;=40,"△ Moderate transition","✓ Acceptable"))</f>
        <v>✓ Acceptable</v>
      </c>
    </row>
    <row r="34" spans="2:8" ht="13.5" customHeight="1" x14ac:dyDescent="0.4">
      <c r="B34" s="78" t="str">
        <f>Allocation!B13</f>
        <v>Office Mid N-Perim</v>
      </c>
      <c r="C34" s="91" t="str">
        <f>Allocation!AF13</f>
        <v>Foam</v>
      </c>
      <c r="D34" s="60">
        <f>IF(Allocation!AF13="Skin",Allocation!T13*Allocation!W13,IF(Allocation!AF13="Foam",Allocation!U13*Allocation!X13,Allocation!V13*Allocation!Y13))</f>
        <v>75.675675675675677</v>
      </c>
      <c r="E34" s="82">
        <f>IF(Allocation!AF13="Skin",Allocation!$J$2,IF(Allocation!AF13="Foam",Allocation!$K$2,Allocation!$L$2))</f>
        <v>86.75</v>
      </c>
      <c r="F34" s="82">
        <f>SUMPRODUCT(MAX((($B$14:$B$21=Allocation!B13)+($C$14:$C$21=Allocation!B13))*$J$14:$J$21))</f>
        <v>0</v>
      </c>
      <c r="G34" s="92">
        <f t="shared" si="10"/>
        <v>63.862837837837837</v>
      </c>
      <c r="H34" s="29" t="str">
        <f>IF(F34&gt;=60,IF(Allocation!AH13&lt;0.15,"⚠ High transition + weak lead → align to neighbour","⚠ High transition → needs transfer member"),IF(F34&gt;=40,"△ Moderate transition","✓ Acceptable"))</f>
        <v>✓ Acceptable</v>
      </c>
    </row>
    <row r="35" spans="2:8" ht="13.5" customHeight="1" x14ac:dyDescent="0.4">
      <c r="B35" s="78" t="str">
        <f>Allocation!B14</f>
        <v>Hotel Mid Perim</v>
      </c>
      <c r="C35" s="91" t="str">
        <f>Allocation!AF14</f>
        <v>Foam</v>
      </c>
      <c r="D35" s="60">
        <f>IF(Allocation!AF14="Skin",Allocation!T14*Allocation!W14,IF(Allocation!AF14="Foam",Allocation!U14*Allocation!X14,Allocation!V14*Allocation!Y14))</f>
        <v>75.882352941176464</v>
      </c>
      <c r="E35" s="82">
        <f>IF(Allocation!AF14="Skin",Allocation!$J$2,IF(Allocation!AF14="Foam",Allocation!$K$2,Allocation!$L$2))</f>
        <v>86.75</v>
      </c>
      <c r="F35" s="82">
        <f>SUMPRODUCT(MAX((($B$14:$B$21=Allocation!B14)+($C$14:$C$21=Allocation!B14))*$J$14:$J$21))</f>
        <v>0</v>
      </c>
      <c r="G35" s="92">
        <f t="shared" si="10"/>
        <v>63.966176470588231</v>
      </c>
      <c r="H35" s="29" t="str">
        <f>IF(F35&gt;=60,IF(Allocation!AH14&lt;0.15,"⚠ High transition + weak lead → align to neighbour","⚠ High transition → needs transfer member"),IF(F35&gt;=40,"△ Moderate transition","✓ Acceptable"))</f>
        <v>✓ Acceptable</v>
      </c>
    </row>
    <row r="36" spans="2:8" ht="13.5" customHeight="1" x14ac:dyDescent="0.4">
      <c r="B36" s="78" t="str">
        <f>Allocation!B15</f>
        <v>Lab Mid</v>
      </c>
      <c r="C36" s="91" t="str">
        <f>Allocation!AF15</f>
        <v>Internal</v>
      </c>
      <c r="D36" s="60">
        <f>IF(Allocation!AF15="Skin",Allocation!T15*Allocation!W15,IF(Allocation!AF15="Foam",Allocation!U15*Allocation!X15,Allocation!V15*Allocation!Y15))</f>
        <v>99.282051282051285</v>
      </c>
      <c r="E36" s="82">
        <f>IF(Allocation!AF15="Skin",Allocation!$J$2,IF(Allocation!AF15="Foam",Allocation!$K$2,Allocation!$L$2))</f>
        <v>30</v>
      </c>
      <c r="F36" s="82">
        <f>SUMPRODUCT(MAX((($B$14:$B$21=Allocation!B15)+($C$14:$C$21=Allocation!B15))*$J$14:$J$21))</f>
        <v>0</v>
      </c>
      <c r="G36" s="92">
        <f t="shared" si="10"/>
        <v>58.641025641025642</v>
      </c>
      <c r="H36" s="29" t="str">
        <f>IF(F36&gt;=60,IF(Allocation!AH15&lt;0.15,"⚠ High transition + weak lead → align to neighbour","⚠ High transition → needs transfer member"),IF(F36&gt;=40,"△ Moderate transition","✓ Acceptable"))</f>
        <v>✓ Acceptable</v>
      </c>
    </row>
    <row r="37" spans="2:8" ht="13.5" customHeight="1" x14ac:dyDescent="0.4">
      <c r="B37" s="78" t="str">
        <f>Allocation!B16</f>
        <v>Office Hi S-Perim</v>
      </c>
      <c r="C37" s="91" t="str">
        <f>Allocation!AF16</f>
        <v>Skin</v>
      </c>
      <c r="D37" s="60">
        <f>IF(Allocation!AF16="Skin",Allocation!T16*Allocation!W16,IF(Allocation!AF16="Foam",Allocation!U16*Allocation!X16,Allocation!V16*Allocation!Y16))</f>
        <v>87.764634146341464</v>
      </c>
      <c r="E37" s="82">
        <f>IF(Allocation!AF16="Skin",Allocation!$J$2,IF(Allocation!AF16="Foam",Allocation!$K$2,Allocation!$L$2))</f>
        <v>80</v>
      </c>
      <c r="F37" s="82">
        <f>SUMPRODUCT(MAX((($B$14:$B$21=Allocation!B16)+($C$14:$C$21=Allocation!B16))*$J$14:$J$21))</f>
        <v>83.999999999999986</v>
      </c>
      <c r="G37" s="92">
        <f t="shared" si="10"/>
        <v>51.082317073170728</v>
      </c>
      <c r="H37" s="29" t="str">
        <f>IF(F37&gt;=60,IF(Allocation!AH16&lt;0.15,"⚠ High transition + weak lead → align to neighbour","⚠ High transition → needs transfer member"),IF(F37&gt;=40,"△ Moderate transition","✓ Acceptable"))</f>
        <v>⚠ High transition → needs transfer member</v>
      </c>
    </row>
    <row r="38" spans="2:8" ht="13.5" customHeight="1" x14ac:dyDescent="0.4">
      <c r="B38" s="78" t="str">
        <f>Allocation!B17</f>
        <v>Office Hi Core</v>
      </c>
      <c r="C38" s="91" t="str">
        <f>Allocation!AF17</f>
        <v>Internal</v>
      </c>
      <c r="D38" s="60">
        <f>IF(Allocation!AF17="Skin",Allocation!T17*Allocation!W17,IF(Allocation!AF17="Foam",Allocation!U17*Allocation!X17,Allocation!V17*Allocation!Y17))</f>
        <v>94.285714285714292</v>
      </c>
      <c r="E38" s="82">
        <f>IF(Allocation!AF17="Skin",Allocation!$J$2,IF(Allocation!AF17="Foam",Allocation!$K$2,Allocation!$L$2))</f>
        <v>30</v>
      </c>
      <c r="F38" s="82">
        <f>SUMPRODUCT(MAX((($B$14:$B$21=Allocation!B17)+($C$14:$C$21=Allocation!B17))*$J$14:$J$21))</f>
        <v>83.999999999999986</v>
      </c>
      <c r="G38" s="92">
        <f t="shared" si="10"/>
        <v>39.342857142857149</v>
      </c>
      <c r="H38" s="29" t="str">
        <f>IF(F38&gt;=60,IF(Allocation!AH17&lt;0.15,"⚠ High transition + weak lead → align to neighbour","⚠ High transition → needs transfer member"),IF(F38&gt;=40,"△ Moderate transition","✓ Acceptable"))</f>
        <v>⚠ High transition + weak lead → align to neighbour</v>
      </c>
    </row>
    <row r="39" spans="2:8" ht="13.5" customHeight="1" x14ac:dyDescent="0.4">
      <c r="B39" s="78" t="str">
        <f>Allocation!B18</f>
        <v>Resid Hi Perim</v>
      </c>
      <c r="C39" s="91" t="str">
        <f>Allocation!AF18</f>
        <v>Foam</v>
      </c>
      <c r="D39" s="60">
        <f>IF(Allocation!AF18="Skin",Allocation!T18*Allocation!W18,IF(Allocation!AF18="Foam",Allocation!U18*Allocation!X18,Allocation!V18*Allocation!Y18))</f>
        <v>75.294117647058826</v>
      </c>
      <c r="E39" s="82">
        <f>IF(Allocation!AF18="Skin",Allocation!$J$2,IF(Allocation!AF18="Foam",Allocation!$K$2,Allocation!$L$2))</f>
        <v>86.75</v>
      </c>
      <c r="F39" s="82">
        <f>SUMPRODUCT(MAX((($B$14:$B$21=Allocation!B18)+($C$14:$C$21=Allocation!B18))*$J$14:$J$21))</f>
        <v>0</v>
      </c>
      <c r="G39" s="92">
        <f t="shared" si="10"/>
        <v>63.672058823529412</v>
      </c>
      <c r="H39" s="29" t="str">
        <f>IF(F39&gt;=60,IF(Allocation!AH18&lt;0.15,"⚠ High transition + weak lead → align to neighbour","⚠ High transition → needs transfer member"),IF(F39&gt;=40,"△ Moderate transition","✓ Acceptable"))</f>
        <v>✓ Acceptable</v>
      </c>
    </row>
    <row r="40" spans="2:8" ht="13.5" customHeight="1" x14ac:dyDescent="0.4">
      <c r="B40" s="78" t="str">
        <f>Allocation!B19</f>
        <v>Resid Hi Core</v>
      </c>
      <c r="C40" s="91" t="str">
        <f>Allocation!AF19</f>
        <v>Skin</v>
      </c>
      <c r="D40" s="60">
        <f>IF(Allocation!AF19="Skin",Allocation!T19*Allocation!W19,IF(Allocation!AF19="Foam",Allocation!U19*Allocation!X19,Allocation!V19*Allocation!Y19))</f>
        <v>72.882352941176464</v>
      </c>
      <c r="E40" s="82">
        <f>IF(Allocation!AF19="Skin",Allocation!$J$2,IF(Allocation!AF19="Foam",Allocation!$K$2,Allocation!$L$2))</f>
        <v>80</v>
      </c>
      <c r="F40" s="82">
        <f>SUMPRODUCT(MAX((($B$14:$B$21=Allocation!B19)+($C$14:$C$21=Allocation!B19))*$J$14:$J$21))</f>
        <v>83.999999999999986</v>
      </c>
      <c r="G40" s="92">
        <f t="shared" si="10"/>
        <v>43.641176470588235</v>
      </c>
      <c r="H40" s="29" t="str">
        <f>IF(F40&gt;=60,IF(Allocation!AH19&lt;0.15,"⚠ High transition + weak lead → align to neighbour","⚠ High transition → needs transfer member"),IF(F40&gt;=40,"△ Moderate transition","✓ Acceptable"))</f>
        <v>⚠ High transition + weak lead → align to neighbour</v>
      </c>
    </row>
    <row r="41" spans="2:8" ht="13.5" customHeight="1" x14ac:dyDescent="0.4">
      <c r="B41" s="78" t="str">
        <f>Allocation!B20</f>
        <v>SkyLobby Hi</v>
      </c>
      <c r="C41" s="91" t="str">
        <f>Allocation!AF20</f>
        <v>Foam</v>
      </c>
      <c r="D41" s="60">
        <f>IF(Allocation!AF20="Skin",Allocation!T20*Allocation!W20,IF(Allocation!AF20="Foam",Allocation!U20*Allocation!X20,Allocation!V20*Allocation!Y20))</f>
        <v>70.555555555555557</v>
      </c>
      <c r="E41" s="82">
        <f>IF(Allocation!AF20="Skin",Allocation!$J$2,IF(Allocation!AF20="Foam",Allocation!$K$2,Allocation!$L$2))</f>
        <v>86.75</v>
      </c>
      <c r="F41" s="82">
        <f>SUMPRODUCT(MAX((($B$14:$B$21=Allocation!B20)+($C$14:$C$21=Allocation!B20))*$J$14:$J$21))</f>
        <v>80</v>
      </c>
      <c r="G41" s="92">
        <f t="shared" si="10"/>
        <v>45.302777777777777</v>
      </c>
      <c r="H41" s="29" t="str">
        <f>IF(F41&gt;=60,IF(Allocation!AH20&lt;0.15,"⚠ High transition + weak lead → align to neighbour","⚠ High transition → needs transfer member"),IF(F41&gt;=40,"△ Moderate transition","✓ Acceptable"))</f>
        <v>⚠ High transition → needs transfer member</v>
      </c>
    </row>
    <row r="42" spans="2:8" ht="13.5" customHeight="1" x14ac:dyDescent="0.4">
      <c r="B42" s="78" t="str">
        <f>Allocation!B21</f>
        <v>Office Super Core</v>
      </c>
      <c r="C42" s="91" t="str">
        <f>Allocation!AF21</f>
        <v>Internal</v>
      </c>
      <c r="D42" s="60">
        <f>IF(Allocation!AF21="Skin",Allocation!T21*Allocation!W21,IF(Allocation!AF21="Foam",Allocation!U21*Allocation!X21,Allocation!V21*Allocation!Y21))</f>
        <v>104.19444444444447</v>
      </c>
      <c r="E42" s="82">
        <f>IF(Allocation!AF21="Skin",Allocation!$J$2,IF(Allocation!AF21="Foam",Allocation!$K$2,Allocation!$L$2))</f>
        <v>30</v>
      </c>
      <c r="F42" s="82">
        <f>SUMPRODUCT(MAX((($B$14:$B$21=Allocation!B21)+($C$14:$C$21=Allocation!B21))*$J$14:$J$21))</f>
        <v>0</v>
      </c>
      <c r="G42" s="92">
        <f t="shared" si="10"/>
        <v>61.097222222222236</v>
      </c>
      <c r="H42" s="29" t="str">
        <f>IF(F42&gt;=60,IF(Allocation!AH21&lt;0.15,"⚠ High transition + weak lead → align to neighbour","⚠ High transition → needs transfer member"),IF(F42&gt;=40,"△ Moderate transition","✓ Acceptable"))</f>
        <v>✓ Acceptable</v>
      </c>
    </row>
    <row r="43" spans="2:8" ht="13.5" customHeight="1" x14ac:dyDescent="0.4">
      <c r="B43" s="78" t="str">
        <f>Allocation!B22</f>
        <v>Office Super S-Perim</v>
      </c>
      <c r="C43" s="91" t="str">
        <f>Allocation!AF22</f>
        <v>Skin</v>
      </c>
      <c r="D43" s="60">
        <f>IF(Allocation!AF22="Skin",Allocation!T22*Allocation!W22,IF(Allocation!AF22="Foam",Allocation!U22*Allocation!X22,Allocation!V22*Allocation!Y22))</f>
        <v>90.476190476190482</v>
      </c>
      <c r="E43" s="82">
        <f>IF(Allocation!AF22="Skin",Allocation!$J$2,IF(Allocation!AF22="Foam",Allocation!$K$2,Allocation!$L$2))</f>
        <v>80</v>
      </c>
      <c r="F43" s="82">
        <f>SUMPRODUCT(MAX((($B$14:$B$21=Allocation!B22)+($C$14:$C$21=Allocation!B22))*$J$14:$J$21))</f>
        <v>0</v>
      </c>
      <c r="G43" s="92">
        <f t="shared" si="10"/>
        <v>69.238095238095241</v>
      </c>
      <c r="H43" s="29" t="str">
        <f>IF(F43&gt;=60,IF(Allocation!AH22&lt;0.15,"⚠ High transition + weak lead → align to neighbour","⚠ High transition → needs transfer member"),IF(F43&gt;=40,"△ Moderate transition","✓ Acceptable"))</f>
        <v>✓ Acceptable</v>
      </c>
    </row>
    <row r="44" spans="2:8" ht="13.5" customHeight="1" x14ac:dyDescent="0.4">
      <c r="B44" s="78" t="str">
        <f>Allocation!B23</f>
        <v>Core Spine Full</v>
      </c>
      <c r="C44" s="91" t="str">
        <f>Allocation!AF23</f>
        <v>Internal</v>
      </c>
      <c r="D44" s="60">
        <f>IF(Allocation!AF23="Skin",Allocation!T23*Allocation!W23,IF(Allocation!AF23="Foam",Allocation!U23*Allocation!X23,Allocation!V23*Allocation!Y23))</f>
        <v>108.03571428571431</v>
      </c>
      <c r="E44" s="82">
        <f>IF(Allocation!AF23="Skin",Allocation!$J$2,IF(Allocation!AF23="Foam",Allocation!$K$2,Allocation!$L$2))</f>
        <v>30</v>
      </c>
      <c r="F44" s="82">
        <f>SUMPRODUCT(MAX((($B$14:$B$21=Allocation!B23)+($C$14:$C$21=Allocation!B23))*$J$14:$J$21))</f>
        <v>83.999999999999986</v>
      </c>
      <c r="G44" s="92">
        <f t="shared" si="10"/>
        <v>46.217857142857156</v>
      </c>
      <c r="H44" s="29" t="str">
        <f>IF(F44&gt;=60,IF(Allocation!AH23&lt;0.15,"⚠ High transition + weak lead → align to neighbour","⚠ High transition → needs transfer member"),IF(F44&gt;=40,"△ Moderate transition","✓ Acceptable"))</f>
        <v>⚠ High transition → needs transfer member</v>
      </c>
    </row>
    <row r="45" spans="2:8" ht="13.5" customHeight="1" x14ac:dyDescent="0.4">
      <c r="B45" s="78" t="str">
        <f>Allocation!B24</f>
        <v>South Facade Hi</v>
      </c>
      <c r="C45" s="91" t="str">
        <f>Allocation!AF24</f>
        <v>Skin</v>
      </c>
      <c r="D45" s="60">
        <f>IF(Allocation!AF24="Skin",Allocation!T24*Allocation!W24,IF(Allocation!AF24="Foam",Allocation!U24*Allocation!X24,Allocation!V24*Allocation!Y24))</f>
        <v>89.032258064516128</v>
      </c>
      <c r="E45" s="82">
        <f>IF(Allocation!AF24="Skin",Allocation!$J$2,IF(Allocation!AF24="Foam",Allocation!$K$2,Allocation!$L$2))</f>
        <v>80</v>
      </c>
      <c r="F45" s="82">
        <f>SUMPRODUCT(MAX((($B$14:$B$21=Allocation!B24)+($C$14:$C$21=Allocation!B24))*$J$14:$J$21))</f>
        <v>0</v>
      </c>
      <c r="G45" s="92">
        <f t="shared" si="10"/>
        <v>68.516129032258064</v>
      </c>
      <c r="H45" s="29" t="str">
        <f>IF(F45&gt;=60,IF(Allocation!AH24&lt;0.15,"⚠ High transition + weak lead → align to neighbour","⚠ High transition → needs transfer member"),IF(F45&gt;=40,"△ Moderate transition","✓ Acceptable"))</f>
        <v>✓ Acceptable</v>
      </c>
    </row>
    <row r="46" spans="2:8" ht="13.5" customHeight="1" x14ac:dyDescent="0.4">
      <c r="B46" s="78" t="str">
        <f>Allocation!B25</f>
        <v>West Facade Mid</v>
      </c>
      <c r="C46" s="91" t="str">
        <f>Allocation!AF25</f>
        <v>Skin</v>
      </c>
      <c r="D46" s="60">
        <f>IF(Allocation!AF25="Skin",Allocation!T25*Allocation!W25,IF(Allocation!AF25="Foam",Allocation!U25*Allocation!X25,Allocation!V25*Allocation!Y25))</f>
        <v>89.032258064516128</v>
      </c>
      <c r="E46" s="82">
        <f>IF(Allocation!AF25="Skin",Allocation!$J$2,IF(Allocation!AF25="Foam",Allocation!$K$2,Allocation!$L$2))</f>
        <v>80</v>
      </c>
      <c r="F46" s="82">
        <f>SUMPRODUCT(MAX((($B$14:$B$21=Allocation!B25)+($C$14:$C$21=Allocation!B25))*$J$14:$J$21))</f>
        <v>0</v>
      </c>
      <c r="G46" s="92">
        <f t="shared" si="10"/>
        <v>68.516129032258064</v>
      </c>
      <c r="H46" s="29" t="str">
        <f>IF(F46&gt;=60,IF(Allocation!AH25&lt;0.15,"⚠ High transition + weak lead → align to neighbour","⚠ High transition → needs transfer member"),IF(F46&gt;=40,"△ Moderate transition","✓ Acceptable"))</f>
        <v>✓ Acceptable</v>
      </c>
    </row>
    <row r="47" spans="2:8" ht="13.5" customHeight="1" x14ac:dyDescent="0.4">
      <c r="B47" s="78" t="str">
        <f>Allocation!B26</f>
        <v>Atrium Full</v>
      </c>
      <c r="C47" s="91" t="str">
        <f>Allocation!AF26</f>
        <v>Foam</v>
      </c>
      <c r="D47" s="60">
        <f>IF(Allocation!AF26="Skin",Allocation!T26*Allocation!W26,IF(Allocation!AF26="Foam",Allocation!U26*Allocation!X26,Allocation!V26*Allocation!Y26))</f>
        <v>71.333333333333343</v>
      </c>
      <c r="E47" s="82">
        <f>IF(Allocation!AF26="Skin",Allocation!$J$2,IF(Allocation!AF26="Foam",Allocation!$K$2,Allocation!$L$2))</f>
        <v>86.75</v>
      </c>
      <c r="F47" s="82">
        <f>SUMPRODUCT(MAX((($B$14:$B$21=Allocation!B26)+($C$14:$C$21=Allocation!B26))*$J$14:$J$21))</f>
        <v>0</v>
      </c>
      <c r="G47" s="92">
        <f t="shared" si="10"/>
        <v>61.69166666666667</v>
      </c>
      <c r="H47" s="29" t="str">
        <f>IF(F47&gt;=60,IF(Allocation!AH26&lt;0.15,"⚠ High transition + weak lead → align to neighbour","⚠ High transition → needs transfer member"),IF(F47&gt;=40,"△ Moderate transition","✓ Acceptable"))</f>
        <v>✓ Acceptable</v>
      </c>
    </row>
    <row r="48" spans="2:8" ht="13.5" customHeight="1" x14ac:dyDescent="0.4">
      <c r="B48" s="78" t="str">
        <f>Allocation!B27</f>
        <v>MEP Floor Hi</v>
      </c>
      <c r="C48" s="91" t="str">
        <f>Allocation!AF27</f>
        <v>Internal</v>
      </c>
      <c r="D48" s="60">
        <f>IF(Allocation!AF27="Skin",Allocation!T27*Allocation!W27,IF(Allocation!AF27="Foam",Allocation!U27*Allocation!X27,Allocation!V27*Allocation!Y27))</f>
        <v>102.85000000000002</v>
      </c>
      <c r="E48" s="82">
        <f>IF(Allocation!AF27="Skin",Allocation!$J$2,IF(Allocation!AF27="Foam",Allocation!$K$2,Allocation!$L$2))</f>
        <v>30</v>
      </c>
      <c r="F48" s="82">
        <f>SUMPRODUCT(MAX((($B$14:$B$21=Allocation!B27)+($C$14:$C$21=Allocation!B27))*$J$14:$J$21))</f>
        <v>0</v>
      </c>
      <c r="G48" s="92">
        <f t="shared" si="10"/>
        <v>60.425000000000011</v>
      </c>
      <c r="H48" s="29" t="str">
        <f>IF(F48&gt;=60,IF(Allocation!AH27&lt;0.15,"⚠ High transition + weak lead → align to neighbour","⚠ High transition → needs transfer member"),IF(F48&gt;=40,"△ Moderate transition","✓ Acceptable"))</f>
        <v>✓ Acceptable</v>
      </c>
    </row>
    <row r="49" spans="2:8" ht="13.5" customHeight="1" x14ac:dyDescent="0.4">
      <c r="B49" s="78" t="str">
        <f>Allocation!B28</f>
        <v>Roof Canopy Hi</v>
      </c>
      <c r="C49" s="91" t="str">
        <f>Allocation!AF28</f>
        <v>Foam</v>
      </c>
      <c r="D49" s="60">
        <f>IF(Allocation!AF28="Skin",Allocation!T28*Allocation!W28,IF(Allocation!AF28="Foam",Allocation!U28*Allocation!X28,Allocation!V28*Allocation!Y28))</f>
        <v>72.666666666666671</v>
      </c>
      <c r="E49" s="82">
        <f>IF(Allocation!AF28="Skin",Allocation!$J$2,IF(Allocation!AF28="Foam",Allocation!$K$2,Allocation!$L$2))</f>
        <v>86.75</v>
      </c>
      <c r="F49" s="82">
        <f>SUMPRODUCT(MAX((($B$14:$B$21=Allocation!B28)+($C$14:$C$21=Allocation!B28))*$J$14:$J$21))</f>
        <v>0</v>
      </c>
      <c r="G49" s="92">
        <f t="shared" si="10"/>
        <v>62.358333333333334</v>
      </c>
      <c r="H49" s="29" t="str">
        <f>IF(F49&gt;=60,IF(Allocation!AH28&lt;0.15,"⚠ High transition + weak lead → align to neighbour","⚠ High transition → needs transfer member"),IF(F49&gt;=40,"△ Moderate transition","✓ Acceptable"))</f>
        <v>✓ Acceptable</v>
      </c>
    </row>
    <row r="50" spans="2:8" ht="13.5" customHeight="1" x14ac:dyDescent="0.4">
      <c r="B50" s="78" t="str">
        <f>Allocation!B29</f>
        <v>Warehouse Lo</v>
      </c>
      <c r="C50" s="91" t="str">
        <f>Allocation!AF29</f>
        <v>Internal</v>
      </c>
      <c r="D50" s="60">
        <f>IF(Allocation!AF29="Skin",Allocation!T29*Allocation!W29,IF(Allocation!AF29="Foam",Allocation!U29*Allocation!X29,Allocation!V29*Allocation!Y29))</f>
        <v>102.14285714285715</v>
      </c>
      <c r="E50" s="82">
        <f>IF(Allocation!AF29="Skin",Allocation!$J$2,IF(Allocation!AF29="Foam",Allocation!$K$2,Allocation!$L$2))</f>
        <v>30</v>
      </c>
      <c r="F50" s="82">
        <f>SUMPRODUCT(MAX((($B$14:$B$21=Allocation!B29)+($C$14:$C$21=Allocation!B29))*$J$14:$J$21))</f>
        <v>0</v>
      </c>
      <c r="G50" s="92">
        <f t="shared" si="10"/>
        <v>60.071428571428577</v>
      </c>
      <c r="H50" s="29" t="str">
        <f>IF(F50&gt;=60,IF(Allocation!AH29&lt;0.15,"⚠ High transition + weak lead → align to neighbour","⚠ High transition → needs transfer member"),IF(F50&gt;=40,"△ Moderate transition","✓ Acceptable"))</f>
        <v>✓ Acceptable</v>
      </c>
    </row>
    <row r="51" spans="2:8" ht="13.5" customHeight="1" x14ac:dyDescent="0.4">
      <c r="B51" s="78" t="str">
        <f>Allocation!B30</f>
        <v>Healthcare Mid</v>
      </c>
      <c r="C51" s="91" t="str">
        <f>Allocation!AF30</f>
        <v>Foam</v>
      </c>
      <c r="D51" s="60">
        <f>IF(Allocation!AF30="Skin",Allocation!T30*Allocation!W30,IF(Allocation!AF30="Foam",Allocation!U30*Allocation!X30,Allocation!V30*Allocation!Y30))</f>
        <v>67.263157894736835</v>
      </c>
      <c r="E51" s="82">
        <f>IF(Allocation!AF30="Skin",Allocation!$J$2,IF(Allocation!AF30="Foam",Allocation!$K$2,Allocation!$L$2))</f>
        <v>86.75</v>
      </c>
      <c r="F51" s="82">
        <f>SUMPRODUCT(MAX((($B$14:$B$21=Allocation!B30)+($C$14:$C$21=Allocation!B30))*$J$14:$J$21))</f>
        <v>0</v>
      </c>
      <c r="G51" s="92">
        <f t="shared" si="10"/>
        <v>59.656578947368416</v>
      </c>
      <c r="H51" s="29" t="str">
        <f>IF(F51&gt;=60,IF(Allocation!AH30&lt;0.15,"⚠ High transition + weak lead → align to neighbour","⚠ High transition → needs transfer member"),IF(F51&gt;=40,"△ Moderate transition","✓ Acceptable"))</f>
        <v>✓ Acceptable</v>
      </c>
    </row>
  </sheetData>
  <mergeCells count="2">
    <mergeCell ref="B1:O1"/>
    <mergeCell ref="B2:O2"/>
  </mergeCells>
  <phoneticPr fontId="42" type="noConversion"/>
  <conditionalFormatting sqref="B26:H51">
    <cfRule type="expression" dxfId="1" priority="4">
      <formula>$F26&gt;=60</formula>
    </cfRule>
  </conditionalFormatting>
  <conditionalFormatting sqref="J14:J21">
    <cfRule type="dataBar" priority="3">
      <dataBar>
        <cfvo type="num" val="0"/>
        <cfvo type="num" val="100"/>
        <color rgb="FFE59866"/>
      </dataBar>
      <extLst>
        <ext xmlns:x14="http://schemas.microsoft.com/office/spreadsheetml/2009/9/main" uri="{B025F937-C7B1-47D3-B67F-A62EFF666E3E}">
          <x14:id>{2B6142FC-9673-4E43-B529-9B710047BD7D}</x14:id>
        </ext>
      </extLst>
    </cfRule>
  </conditionalFormatting>
  <conditionalFormatting sqref="K14:K21">
    <cfRule type="expression" dxfId="0" priority="2">
      <formula>$J14&gt;=60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6142FC-9673-4E43-B529-9B710047BD7D}">
            <x14:dataBar axisPosition="none">
              <x14:cfvo type="num">
                <xm:f>0</xm:f>
              </x14:cfvo>
              <x14:cfvo type="num">
                <xm:f>100</xm:f>
              </x14:cfvo>
              <x14:negativeFillColor rgb="FFE59866"/>
            </x14:dataBar>
          </x14:cfRule>
          <xm:sqref>J14:J21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900-000000000000}">
          <x14:formula1>
            <xm:f>Allocation!$B$5:$B$30</xm:f>
          </x14:formula1>
          <x14:formula2>
            <xm:f>0</xm:f>
          </x14:formula2>
          <xm:sqref>B14:C21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E37"/>
  <sheetViews>
    <sheetView showGridLines="0" zoomScaleNormal="100" workbookViewId="0"/>
  </sheetViews>
  <sheetFormatPr defaultColWidth="8.69140625" defaultRowHeight="14.6" x14ac:dyDescent="0.4"/>
  <cols>
    <col min="1" max="1" width="2" customWidth="1"/>
    <col min="2" max="2" width="24" customWidth="1"/>
    <col min="3" max="3" width="20" customWidth="1"/>
    <col min="4" max="4" width="18" customWidth="1"/>
    <col min="5" max="5" width="36" customWidth="1"/>
  </cols>
  <sheetData>
    <row r="1" spans="2:5" ht="21.75" customHeight="1" x14ac:dyDescent="0.4">
      <c r="B1" s="6" t="s">
        <v>303</v>
      </c>
      <c r="C1" s="6"/>
      <c r="D1" s="6"/>
      <c r="E1" s="6"/>
    </row>
    <row r="2" spans="2:5" ht="22.4" customHeight="1" x14ac:dyDescent="0.4">
      <c r="B2" s="8" t="s">
        <v>304</v>
      </c>
      <c r="C2" s="8"/>
      <c r="D2" s="8"/>
      <c r="E2" s="8"/>
    </row>
    <row r="4" spans="2:5" x14ac:dyDescent="0.4">
      <c r="B4" s="72" t="s">
        <v>305</v>
      </c>
      <c r="C4" s="38">
        <v>140</v>
      </c>
    </row>
    <row r="5" spans="2:5" x14ac:dyDescent="0.4">
      <c r="B5" s="72" t="s">
        <v>306</v>
      </c>
      <c r="C5" s="93" t="str">
        <f>IF(INDEX(Allocation!$AF$5:$AF$30,MATCH("South Facade Hi",Allocation!$B$5:$B$30,0))="Skin","Yes","No")</f>
        <v>Yes</v>
      </c>
    </row>
    <row r="7" spans="2:5" x14ac:dyDescent="0.4">
      <c r="B7" s="69" t="s">
        <v>307</v>
      </c>
    </row>
    <row r="8" spans="2:5" ht="30" customHeight="1" x14ac:dyDescent="0.4">
      <c r="B8" s="1" t="str">
        <f>IF($C$4&gt;200,"RC core (Internal) primary lateral + outrigger trusses",IF(AND($C$4&gt;=80,$C$5="Yes"),"⇒ Perimeter diagrid (Skin) can be primary lateral; RC core reduced to circulation shaft",IF($C$4&gt;=80,"RC core (Internal) primary lateral","Frame / shear wall is sufficient")))</f>
        <v>⇒ Perimeter diagrid (Skin) can be primary lateral; RC core reduced to circulation shaft</v>
      </c>
      <c r="C8" s="1"/>
      <c r="D8" s="1"/>
      <c r="E8" s="1"/>
    </row>
    <row r="10" spans="2:5" x14ac:dyDescent="0.4">
      <c r="B10" s="69" t="s">
        <v>308</v>
      </c>
    </row>
    <row r="11" spans="2:5" x14ac:dyDescent="0.4">
      <c r="B11" s="24" t="s">
        <v>17</v>
      </c>
      <c r="C11" s="24" t="s">
        <v>309</v>
      </c>
      <c r="D11" s="24" t="s">
        <v>310</v>
      </c>
      <c r="E11" s="24" t="s">
        <v>311</v>
      </c>
    </row>
    <row r="12" spans="2:5" ht="13.5" customHeight="1" x14ac:dyDescent="0.4">
      <c r="B12" s="78" t="str">
        <f>Allocation!B5</f>
        <v>Retail Lo Perim</v>
      </c>
      <c r="C12" s="78" t="str">
        <f>Allocation!AF5</f>
        <v>Foam</v>
      </c>
      <c r="D12" s="55" t="str">
        <f>IF(OR(Allocation!E5="Core",Allocation!D5="Super",AND(Allocation!E5="Perim",ISNUMBER(SEARCH("Facade",Allocation!B5)))),"Global lateral","Local gravity")</f>
        <v>Local gravity</v>
      </c>
      <c r="E12" s="29" t="str">
        <f>IF(OR(Allocation!E5="Core",Allocation!D5="Super",AND(Allocation!E5="Perim",ISNUMBER(SEARCH("Facade",Allocation!B5)))),"resists building lateral","gravity/span; lateral handled by Global")</f>
        <v>gravity/span; lateral handled by Global</v>
      </c>
    </row>
    <row r="13" spans="2:5" ht="13.5" customHeight="1" x14ac:dyDescent="0.4">
      <c r="B13" s="78" t="str">
        <f>Allocation!B6</f>
        <v>Retail Lo Core</v>
      </c>
      <c r="C13" s="78" t="str">
        <f>Allocation!AF6</f>
        <v>Internal</v>
      </c>
      <c r="D13" s="55" t="str">
        <f>IF(OR(Allocation!E6="Core",Allocation!D6="Super",AND(Allocation!E6="Perim",ISNUMBER(SEARCH("Facade",Allocation!B6)))),"Global lateral","Local gravity")</f>
        <v>Global lateral</v>
      </c>
      <c r="E13" s="29" t="str">
        <f>IF(OR(Allocation!E6="Core",Allocation!D6="Super",AND(Allocation!E6="Perim",ISNUMBER(SEARCH("Facade",Allocation!B6)))),"resists building lateral","gravity/span; lateral handled by Global")</f>
        <v>resists building lateral</v>
      </c>
    </row>
    <row r="14" spans="2:5" ht="13.5" customHeight="1" x14ac:dyDescent="0.4">
      <c r="B14" s="78" t="str">
        <f>Allocation!B7</f>
        <v>Lobby Lo</v>
      </c>
      <c r="C14" s="78" t="str">
        <f>Allocation!AF7</f>
        <v>Foam</v>
      </c>
      <c r="D14" s="55" t="str">
        <f>IF(OR(Allocation!E7="Core",Allocation!D7="Super",AND(Allocation!E7="Perim",ISNUMBER(SEARCH("Facade",Allocation!B7)))),"Global lateral","Local gravity")</f>
        <v>Local gravity</v>
      </c>
      <c r="E14" s="29" t="str">
        <f>IF(OR(Allocation!E7="Core",Allocation!D7="Super",AND(Allocation!E7="Perim",ISNUMBER(SEARCH("Facade",Allocation!B7)))),"resists building lateral","gravity/span; lateral handled by Global")</f>
        <v>gravity/span; lateral handled by Global</v>
      </c>
    </row>
    <row r="15" spans="2:5" ht="13.5" customHeight="1" x14ac:dyDescent="0.4">
      <c r="B15" s="78" t="str">
        <f>Allocation!B8</f>
        <v>Parking Lo</v>
      </c>
      <c r="C15" s="78" t="str">
        <f>Allocation!AF8</f>
        <v>Foam</v>
      </c>
      <c r="D15" s="55" t="str">
        <f>IF(OR(Allocation!E8="Core",Allocation!D8="Super",AND(Allocation!E8="Perim",ISNUMBER(SEARCH("Facade",Allocation!B8)))),"Global lateral","Local gravity")</f>
        <v>Global lateral</v>
      </c>
      <c r="E15" s="29" t="str">
        <f>IF(OR(Allocation!E8="Core",Allocation!D8="Super",AND(Allocation!E8="Perim",ISNUMBER(SEARCH("Facade",Allocation!B8)))),"resists building lateral","gravity/span; lateral handled by Global")</f>
        <v>resists building lateral</v>
      </c>
    </row>
    <row r="16" spans="2:5" ht="13.5" customHeight="1" x14ac:dyDescent="0.4">
      <c r="B16" s="78" t="str">
        <f>Allocation!B9</f>
        <v>Conference Lo</v>
      </c>
      <c r="C16" s="78" t="str">
        <f>Allocation!AF9</f>
        <v>Foam</v>
      </c>
      <c r="D16" s="55" t="str">
        <f>IF(OR(Allocation!E9="Core",Allocation!D9="Super",AND(Allocation!E9="Perim",ISNUMBER(SEARCH("Facade",Allocation!B9)))),"Global lateral","Local gravity")</f>
        <v>Global lateral</v>
      </c>
      <c r="E16" s="29" t="str">
        <f>IF(OR(Allocation!E9="Core",Allocation!D9="Super",AND(Allocation!E9="Perim",ISNUMBER(SEARCH("Facade",Allocation!B9)))),"resists building lateral","gravity/span; lateral handled by Global")</f>
        <v>resists building lateral</v>
      </c>
    </row>
    <row r="17" spans="2:5" ht="13.5" customHeight="1" x14ac:dyDescent="0.4">
      <c r="B17" s="78" t="str">
        <f>Allocation!B10</f>
        <v>DataCenter Lo</v>
      </c>
      <c r="C17" s="78" t="str">
        <f>Allocation!AF10</f>
        <v>Internal</v>
      </c>
      <c r="D17" s="55" t="str">
        <f>IF(OR(Allocation!E10="Core",Allocation!D10="Super",AND(Allocation!E10="Perim",ISNUMBER(SEARCH("Facade",Allocation!B10)))),"Global lateral","Local gravity")</f>
        <v>Global lateral</v>
      </c>
      <c r="E17" s="29" t="str">
        <f>IF(OR(Allocation!E10="Core",Allocation!D10="Super",AND(Allocation!E10="Perim",ISNUMBER(SEARCH("Facade",Allocation!B10)))),"resists building lateral","gravity/span; lateral handled by Global")</f>
        <v>resists building lateral</v>
      </c>
    </row>
    <row r="18" spans="2:5" ht="13.5" customHeight="1" x14ac:dyDescent="0.4">
      <c r="B18" s="78" t="str">
        <f>Allocation!B11</f>
        <v>Office Mid S-Perim</v>
      </c>
      <c r="C18" s="78" t="str">
        <f>Allocation!AF11</f>
        <v>Skin</v>
      </c>
      <c r="D18" s="55" t="str">
        <f>IF(OR(Allocation!E11="Core",Allocation!D11="Super",AND(Allocation!E11="Perim",ISNUMBER(SEARCH("Facade",Allocation!B11)))),"Global lateral","Local gravity")</f>
        <v>Local gravity</v>
      </c>
      <c r="E18" s="29" t="str">
        <f>IF(OR(Allocation!E11="Core",Allocation!D11="Super",AND(Allocation!E11="Perim",ISNUMBER(SEARCH("Facade",Allocation!B11)))),"resists building lateral","gravity/span; lateral handled by Global")</f>
        <v>gravity/span; lateral handled by Global</v>
      </c>
    </row>
    <row r="19" spans="2:5" ht="13.5" customHeight="1" x14ac:dyDescent="0.4">
      <c r="B19" s="78" t="str">
        <f>Allocation!B12</f>
        <v>Office Mid Core</v>
      </c>
      <c r="C19" s="78" t="str">
        <f>Allocation!AF12</f>
        <v>Internal</v>
      </c>
      <c r="D19" s="55" t="str">
        <f>IF(OR(Allocation!E12="Core",Allocation!D12="Super",AND(Allocation!E12="Perim",ISNUMBER(SEARCH("Facade",Allocation!B12)))),"Global lateral","Local gravity")</f>
        <v>Global lateral</v>
      </c>
      <c r="E19" s="29" t="str">
        <f>IF(OR(Allocation!E12="Core",Allocation!D12="Super",AND(Allocation!E12="Perim",ISNUMBER(SEARCH("Facade",Allocation!B12)))),"resists building lateral","gravity/span; lateral handled by Global")</f>
        <v>resists building lateral</v>
      </c>
    </row>
    <row r="20" spans="2:5" ht="13.5" customHeight="1" x14ac:dyDescent="0.4">
      <c r="B20" s="78" t="str">
        <f>Allocation!B13</f>
        <v>Office Mid N-Perim</v>
      </c>
      <c r="C20" s="78" t="str">
        <f>Allocation!AF13</f>
        <v>Foam</v>
      </c>
      <c r="D20" s="55" t="str">
        <f>IF(OR(Allocation!E13="Core",Allocation!D13="Super",AND(Allocation!E13="Perim",ISNUMBER(SEARCH("Facade",Allocation!B13)))),"Global lateral","Local gravity")</f>
        <v>Local gravity</v>
      </c>
      <c r="E20" s="29" t="str">
        <f>IF(OR(Allocation!E13="Core",Allocation!D13="Super",AND(Allocation!E13="Perim",ISNUMBER(SEARCH("Facade",Allocation!B13)))),"resists building lateral","gravity/span; lateral handled by Global")</f>
        <v>gravity/span; lateral handled by Global</v>
      </c>
    </row>
    <row r="21" spans="2:5" ht="13.5" customHeight="1" x14ac:dyDescent="0.4">
      <c r="B21" s="78" t="str">
        <f>Allocation!B14</f>
        <v>Hotel Mid Perim</v>
      </c>
      <c r="C21" s="78" t="str">
        <f>Allocation!AF14</f>
        <v>Foam</v>
      </c>
      <c r="D21" s="55" t="str">
        <f>IF(OR(Allocation!E14="Core",Allocation!D14="Super",AND(Allocation!E14="Perim",ISNUMBER(SEARCH("Facade",Allocation!B14)))),"Global lateral","Local gravity")</f>
        <v>Local gravity</v>
      </c>
      <c r="E21" s="29" t="str">
        <f>IF(OR(Allocation!E14="Core",Allocation!D14="Super",AND(Allocation!E14="Perim",ISNUMBER(SEARCH("Facade",Allocation!B14)))),"resists building lateral","gravity/span; lateral handled by Global")</f>
        <v>gravity/span; lateral handled by Global</v>
      </c>
    </row>
    <row r="22" spans="2:5" ht="13.5" customHeight="1" x14ac:dyDescent="0.4">
      <c r="B22" s="78" t="str">
        <f>Allocation!B15</f>
        <v>Lab Mid</v>
      </c>
      <c r="C22" s="78" t="str">
        <f>Allocation!AF15</f>
        <v>Internal</v>
      </c>
      <c r="D22" s="55" t="str">
        <f>IF(OR(Allocation!E15="Core",Allocation!D15="Super",AND(Allocation!E15="Perim",ISNUMBER(SEARCH("Facade",Allocation!B15)))),"Global lateral","Local gravity")</f>
        <v>Local gravity</v>
      </c>
      <c r="E22" s="29" t="str">
        <f>IF(OR(Allocation!E15="Core",Allocation!D15="Super",AND(Allocation!E15="Perim",ISNUMBER(SEARCH("Facade",Allocation!B15)))),"resists building lateral","gravity/span; lateral handled by Global")</f>
        <v>gravity/span; lateral handled by Global</v>
      </c>
    </row>
    <row r="23" spans="2:5" ht="13.5" customHeight="1" x14ac:dyDescent="0.4">
      <c r="B23" s="78" t="str">
        <f>Allocation!B16</f>
        <v>Office Hi S-Perim</v>
      </c>
      <c r="C23" s="78" t="str">
        <f>Allocation!AF16</f>
        <v>Skin</v>
      </c>
      <c r="D23" s="55" t="str">
        <f>IF(OR(Allocation!E16="Core",Allocation!D16="Super",AND(Allocation!E16="Perim",ISNUMBER(SEARCH("Facade",Allocation!B16)))),"Global lateral","Local gravity")</f>
        <v>Local gravity</v>
      </c>
      <c r="E23" s="29" t="str">
        <f>IF(OR(Allocation!E16="Core",Allocation!D16="Super",AND(Allocation!E16="Perim",ISNUMBER(SEARCH("Facade",Allocation!B16)))),"resists building lateral","gravity/span; lateral handled by Global")</f>
        <v>gravity/span; lateral handled by Global</v>
      </c>
    </row>
    <row r="24" spans="2:5" ht="13.5" customHeight="1" x14ac:dyDescent="0.4">
      <c r="B24" s="78" t="str">
        <f>Allocation!B17</f>
        <v>Office Hi Core</v>
      </c>
      <c r="C24" s="78" t="str">
        <f>Allocation!AF17</f>
        <v>Internal</v>
      </c>
      <c r="D24" s="55" t="str">
        <f>IF(OR(Allocation!E17="Core",Allocation!D17="Super",AND(Allocation!E17="Perim",ISNUMBER(SEARCH("Facade",Allocation!B17)))),"Global lateral","Local gravity")</f>
        <v>Global lateral</v>
      </c>
      <c r="E24" s="29" t="str">
        <f>IF(OR(Allocation!E17="Core",Allocation!D17="Super",AND(Allocation!E17="Perim",ISNUMBER(SEARCH("Facade",Allocation!B17)))),"resists building lateral","gravity/span; lateral handled by Global")</f>
        <v>resists building lateral</v>
      </c>
    </row>
    <row r="25" spans="2:5" ht="13.5" customHeight="1" x14ac:dyDescent="0.4">
      <c r="B25" s="78" t="str">
        <f>Allocation!B18</f>
        <v>Resid Hi Perim</v>
      </c>
      <c r="C25" s="78" t="str">
        <f>Allocation!AF18</f>
        <v>Foam</v>
      </c>
      <c r="D25" s="55" t="str">
        <f>IF(OR(Allocation!E18="Core",Allocation!D18="Super",AND(Allocation!E18="Perim",ISNUMBER(SEARCH("Facade",Allocation!B18)))),"Global lateral","Local gravity")</f>
        <v>Local gravity</v>
      </c>
      <c r="E25" s="29" t="str">
        <f>IF(OR(Allocation!E18="Core",Allocation!D18="Super",AND(Allocation!E18="Perim",ISNUMBER(SEARCH("Facade",Allocation!B18)))),"resists building lateral","gravity/span; lateral handled by Global")</f>
        <v>gravity/span; lateral handled by Global</v>
      </c>
    </row>
    <row r="26" spans="2:5" ht="13.5" customHeight="1" x14ac:dyDescent="0.4">
      <c r="B26" s="78" t="str">
        <f>Allocation!B19</f>
        <v>Resid Hi Core</v>
      </c>
      <c r="C26" s="78" t="str">
        <f>Allocation!AF19</f>
        <v>Skin</v>
      </c>
      <c r="D26" s="55" t="str">
        <f>IF(OR(Allocation!E19="Core",Allocation!D19="Super",AND(Allocation!E19="Perim",ISNUMBER(SEARCH("Facade",Allocation!B19)))),"Global lateral","Local gravity")</f>
        <v>Global lateral</v>
      </c>
      <c r="E26" s="29" t="str">
        <f>IF(OR(Allocation!E19="Core",Allocation!D19="Super",AND(Allocation!E19="Perim",ISNUMBER(SEARCH("Facade",Allocation!B19)))),"resists building lateral","gravity/span; lateral handled by Global")</f>
        <v>resists building lateral</v>
      </c>
    </row>
    <row r="27" spans="2:5" ht="13.5" customHeight="1" x14ac:dyDescent="0.4">
      <c r="B27" s="78" t="str">
        <f>Allocation!B20</f>
        <v>SkyLobby Hi</v>
      </c>
      <c r="C27" s="78" t="str">
        <f>Allocation!AF20</f>
        <v>Foam</v>
      </c>
      <c r="D27" s="55" t="str">
        <f>IF(OR(Allocation!E20="Core",Allocation!D20="Super",AND(Allocation!E20="Perim",ISNUMBER(SEARCH("Facade",Allocation!B20)))),"Global lateral","Local gravity")</f>
        <v>Local gravity</v>
      </c>
      <c r="E27" s="29" t="str">
        <f>IF(OR(Allocation!E20="Core",Allocation!D20="Super",AND(Allocation!E20="Perim",ISNUMBER(SEARCH("Facade",Allocation!B20)))),"resists building lateral","gravity/span; lateral handled by Global")</f>
        <v>gravity/span; lateral handled by Global</v>
      </c>
    </row>
    <row r="28" spans="2:5" ht="13.5" customHeight="1" x14ac:dyDescent="0.4">
      <c r="B28" s="78" t="str">
        <f>Allocation!B21</f>
        <v>Office Super Core</v>
      </c>
      <c r="C28" s="78" t="str">
        <f>Allocation!AF21</f>
        <v>Internal</v>
      </c>
      <c r="D28" s="55" t="str">
        <f>IF(OR(Allocation!E21="Core",Allocation!D21="Super",AND(Allocation!E21="Perim",ISNUMBER(SEARCH("Facade",Allocation!B21)))),"Global lateral","Local gravity")</f>
        <v>Global lateral</v>
      </c>
      <c r="E28" s="29" t="str">
        <f>IF(OR(Allocation!E21="Core",Allocation!D21="Super",AND(Allocation!E21="Perim",ISNUMBER(SEARCH("Facade",Allocation!B21)))),"resists building lateral","gravity/span; lateral handled by Global")</f>
        <v>resists building lateral</v>
      </c>
    </row>
    <row r="29" spans="2:5" ht="13.5" customHeight="1" x14ac:dyDescent="0.4">
      <c r="B29" s="78" t="str">
        <f>Allocation!B22</f>
        <v>Office Super S-Perim</v>
      </c>
      <c r="C29" s="78" t="str">
        <f>Allocation!AF22</f>
        <v>Skin</v>
      </c>
      <c r="D29" s="55" t="str">
        <f>IF(OR(Allocation!E22="Core",Allocation!D22="Super",AND(Allocation!E22="Perim",ISNUMBER(SEARCH("Facade",Allocation!B22)))),"Global lateral","Local gravity")</f>
        <v>Global lateral</v>
      </c>
      <c r="E29" s="29" t="str">
        <f>IF(OR(Allocation!E22="Core",Allocation!D22="Super",AND(Allocation!E22="Perim",ISNUMBER(SEARCH("Facade",Allocation!B22)))),"resists building lateral","gravity/span; lateral handled by Global")</f>
        <v>resists building lateral</v>
      </c>
    </row>
    <row r="30" spans="2:5" ht="13.5" customHeight="1" x14ac:dyDescent="0.4">
      <c r="B30" s="78" t="str">
        <f>Allocation!B23</f>
        <v>Core Spine Full</v>
      </c>
      <c r="C30" s="78" t="str">
        <f>Allocation!AF23</f>
        <v>Internal</v>
      </c>
      <c r="D30" s="55" t="str">
        <f>IF(OR(Allocation!E23="Core",Allocation!D23="Super",AND(Allocation!E23="Perim",ISNUMBER(SEARCH("Facade",Allocation!B23)))),"Global lateral","Local gravity")</f>
        <v>Global lateral</v>
      </c>
      <c r="E30" s="29" t="str">
        <f>IF(OR(Allocation!E23="Core",Allocation!D23="Super",AND(Allocation!E23="Perim",ISNUMBER(SEARCH("Facade",Allocation!B23)))),"resists building lateral","gravity/span; lateral handled by Global")</f>
        <v>resists building lateral</v>
      </c>
    </row>
    <row r="31" spans="2:5" ht="13.5" customHeight="1" x14ac:dyDescent="0.4">
      <c r="B31" s="78" t="str">
        <f>Allocation!B24</f>
        <v>South Facade Hi</v>
      </c>
      <c r="C31" s="78" t="str">
        <f>Allocation!AF24</f>
        <v>Skin</v>
      </c>
      <c r="D31" s="55" t="str">
        <f>IF(OR(Allocation!E24="Core",Allocation!D24="Super",AND(Allocation!E24="Perim",ISNUMBER(SEARCH("Facade",Allocation!B24)))),"Global lateral","Local gravity")</f>
        <v>Global lateral</v>
      </c>
      <c r="E31" s="29" t="str">
        <f>IF(OR(Allocation!E24="Core",Allocation!D24="Super",AND(Allocation!E24="Perim",ISNUMBER(SEARCH("Facade",Allocation!B24)))),"resists building lateral","gravity/span; lateral handled by Global")</f>
        <v>resists building lateral</v>
      </c>
    </row>
    <row r="32" spans="2:5" ht="13.5" customHeight="1" x14ac:dyDescent="0.4">
      <c r="B32" s="78" t="str">
        <f>Allocation!B25</f>
        <v>West Facade Mid</v>
      </c>
      <c r="C32" s="78" t="str">
        <f>Allocation!AF25</f>
        <v>Skin</v>
      </c>
      <c r="D32" s="55" t="str">
        <f>IF(OR(Allocation!E25="Core",Allocation!D25="Super",AND(Allocation!E25="Perim",ISNUMBER(SEARCH("Facade",Allocation!B25)))),"Global lateral","Local gravity")</f>
        <v>Global lateral</v>
      </c>
      <c r="E32" s="29" t="str">
        <f>IF(OR(Allocation!E25="Core",Allocation!D25="Super",AND(Allocation!E25="Perim",ISNUMBER(SEARCH("Facade",Allocation!B25)))),"resists building lateral","gravity/span; lateral handled by Global")</f>
        <v>resists building lateral</v>
      </c>
    </row>
    <row r="33" spans="2:5" ht="13.5" customHeight="1" x14ac:dyDescent="0.4">
      <c r="B33" s="78" t="str">
        <f>Allocation!B26</f>
        <v>Atrium Full</v>
      </c>
      <c r="C33" s="78" t="str">
        <f>Allocation!AF26</f>
        <v>Foam</v>
      </c>
      <c r="D33" s="55" t="str">
        <f>IF(OR(Allocation!E26="Core",Allocation!D26="Super",AND(Allocation!E26="Perim",ISNUMBER(SEARCH("Facade",Allocation!B26)))),"Global lateral","Local gravity")</f>
        <v>Local gravity</v>
      </c>
      <c r="E33" s="29" t="str">
        <f>IF(OR(Allocation!E26="Core",Allocation!D26="Super",AND(Allocation!E26="Perim",ISNUMBER(SEARCH("Facade",Allocation!B26)))),"resists building lateral","gravity/span; lateral handled by Global")</f>
        <v>gravity/span; lateral handled by Global</v>
      </c>
    </row>
    <row r="34" spans="2:5" ht="13.5" customHeight="1" x14ac:dyDescent="0.4">
      <c r="B34" s="78" t="str">
        <f>Allocation!B27</f>
        <v>MEP Floor Hi</v>
      </c>
      <c r="C34" s="78" t="str">
        <f>Allocation!AF27</f>
        <v>Internal</v>
      </c>
      <c r="D34" s="55" t="str">
        <f>IF(OR(Allocation!E27="Core",Allocation!D27="Super",AND(Allocation!E27="Perim",ISNUMBER(SEARCH("Facade",Allocation!B27)))),"Global lateral","Local gravity")</f>
        <v>Global lateral</v>
      </c>
      <c r="E34" s="29" t="str">
        <f>IF(OR(Allocation!E27="Core",Allocation!D27="Super",AND(Allocation!E27="Perim",ISNUMBER(SEARCH("Facade",Allocation!B27)))),"resists building lateral","gravity/span; lateral handled by Global")</f>
        <v>resists building lateral</v>
      </c>
    </row>
    <row r="35" spans="2:5" ht="13.5" customHeight="1" x14ac:dyDescent="0.4">
      <c r="B35" s="78" t="str">
        <f>Allocation!B28</f>
        <v>Roof Canopy Hi</v>
      </c>
      <c r="C35" s="78" t="str">
        <f>Allocation!AF28</f>
        <v>Foam</v>
      </c>
      <c r="D35" s="55" t="str">
        <f>IF(OR(Allocation!E28="Core",Allocation!D28="Super",AND(Allocation!E28="Perim",ISNUMBER(SEARCH("Facade",Allocation!B28)))),"Global lateral","Local gravity")</f>
        <v>Local gravity</v>
      </c>
      <c r="E35" s="29" t="str">
        <f>IF(OR(Allocation!E28="Core",Allocation!D28="Super",AND(Allocation!E28="Perim",ISNUMBER(SEARCH("Facade",Allocation!B28)))),"resists building lateral","gravity/span; lateral handled by Global")</f>
        <v>gravity/span; lateral handled by Global</v>
      </c>
    </row>
    <row r="36" spans="2:5" ht="13.5" customHeight="1" x14ac:dyDescent="0.4">
      <c r="B36" s="78" t="str">
        <f>Allocation!B29</f>
        <v>Warehouse Lo</v>
      </c>
      <c r="C36" s="78" t="str">
        <f>Allocation!AF29</f>
        <v>Internal</v>
      </c>
      <c r="D36" s="55" t="str">
        <f>IF(OR(Allocation!E29="Core",Allocation!D29="Super",AND(Allocation!E29="Perim",ISNUMBER(SEARCH("Facade",Allocation!B29)))),"Global lateral","Local gravity")</f>
        <v>Global lateral</v>
      </c>
      <c r="E36" s="29" t="str">
        <f>IF(OR(Allocation!E29="Core",Allocation!D29="Super",AND(Allocation!E29="Perim",ISNUMBER(SEARCH("Facade",Allocation!B29)))),"resists building lateral","gravity/span; lateral handled by Global")</f>
        <v>resists building lateral</v>
      </c>
    </row>
    <row r="37" spans="2:5" ht="13.5" customHeight="1" x14ac:dyDescent="0.4">
      <c r="B37" s="78" t="str">
        <f>Allocation!B30</f>
        <v>Healthcare Mid</v>
      </c>
      <c r="C37" s="78" t="str">
        <f>Allocation!AF30</f>
        <v>Foam</v>
      </c>
      <c r="D37" s="55" t="str">
        <f>IF(OR(Allocation!E30="Core",Allocation!D30="Super",AND(Allocation!E30="Perim",ISNUMBER(SEARCH("Facade",Allocation!B30)))),"Global lateral","Local gravity")</f>
        <v>Local gravity</v>
      </c>
      <c r="E37" s="29" t="str">
        <f>IF(OR(Allocation!E30="Core",Allocation!D30="Super",AND(Allocation!E30="Perim",ISNUMBER(SEARCH("Facade",Allocation!B30)))),"resists building lateral","gravity/span; lateral handled by Global")</f>
        <v>gravity/span; lateral handled by Global</v>
      </c>
    </row>
  </sheetData>
  <mergeCells count="3">
    <mergeCell ref="B1:E1"/>
    <mergeCell ref="B2:E2"/>
    <mergeCell ref="B8:E8"/>
  </mergeCells>
  <phoneticPr fontId="4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E14"/>
  <sheetViews>
    <sheetView showGridLines="0" zoomScaleNormal="100" workbookViewId="0">
      <selection activeCell="E12" sqref="E12"/>
    </sheetView>
  </sheetViews>
  <sheetFormatPr defaultColWidth="8.69140625" defaultRowHeight="14.6" x14ac:dyDescent="0.4"/>
  <cols>
    <col min="1" max="1" width="2" customWidth="1"/>
    <col min="2" max="2" width="6" customWidth="1"/>
    <col min="3" max="3" width="34" customWidth="1"/>
    <col min="4" max="4" width="56" customWidth="1"/>
    <col min="5" max="5" width="24" customWidth="1"/>
  </cols>
  <sheetData>
    <row r="2" spans="2:5" ht="25.5" customHeight="1" x14ac:dyDescent="0.4">
      <c r="B2" s="9" t="s">
        <v>312</v>
      </c>
      <c r="C2" s="9"/>
      <c r="D2" s="9"/>
      <c r="E2" s="9"/>
    </row>
    <row r="4" spans="2:5" x14ac:dyDescent="0.4">
      <c r="B4" s="22" t="s">
        <v>313</v>
      </c>
      <c r="C4" s="22" t="s">
        <v>314</v>
      </c>
      <c r="D4" s="22" t="s">
        <v>315</v>
      </c>
      <c r="E4" s="22" t="s">
        <v>42</v>
      </c>
    </row>
    <row r="5" spans="2:5" ht="25.5" customHeight="1" x14ac:dyDescent="0.4">
      <c r="B5" s="94" t="s">
        <v>316</v>
      </c>
      <c r="C5" s="28" t="s">
        <v>317</v>
      </c>
      <c r="D5" s="28" t="s">
        <v>318</v>
      </c>
      <c r="E5" s="28" t="s">
        <v>319</v>
      </c>
    </row>
    <row r="6" spans="2:5" ht="25.5" customHeight="1" x14ac:dyDescent="0.4">
      <c r="B6" s="95" t="s">
        <v>320</v>
      </c>
      <c r="C6" s="96" t="s">
        <v>321</v>
      </c>
      <c r="D6" s="96" t="s">
        <v>322</v>
      </c>
      <c r="E6" s="96" t="s">
        <v>323</v>
      </c>
    </row>
    <row r="7" spans="2:5" ht="25.5" customHeight="1" x14ac:dyDescent="0.4">
      <c r="B7" s="94" t="s">
        <v>324</v>
      </c>
      <c r="C7" s="28" t="s">
        <v>325</v>
      </c>
      <c r="D7" s="28" t="s">
        <v>326</v>
      </c>
      <c r="E7" s="28" t="s">
        <v>327</v>
      </c>
    </row>
    <row r="8" spans="2:5" ht="25.5" customHeight="1" x14ac:dyDescent="0.4">
      <c r="B8" s="95" t="s">
        <v>328</v>
      </c>
      <c r="C8" s="96" t="s">
        <v>329</v>
      </c>
      <c r="D8" s="96" t="s">
        <v>330</v>
      </c>
      <c r="E8" s="96" t="s">
        <v>331</v>
      </c>
    </row>
    <row r="9" spans="2:5" ht="25.5" customHeight="1" x14ac:dyDescent="0.4">
      <c r="B9" s="94" t="s">
        <v>332</v>
      </c>
      <c r="C9" s="28" t="s">
        <v>333</v>
      </c>
      <c r="D9" s="28" t="s">
        <v>334</v>
      </c>
      <c r="E9" s="28" t="s">
        <v>335</v>
      </c>
    </row>
    <row r="10" spans="2:5" ht="25.5" customHeight="1" x14ac:dyDescent="0.4">
      <c r="B10" s="95" t="s">
        <v>336</v>
      </c>
      <c r="C10" s="96" t="s">
        <v>337</v>
      </c>
      <c r="D10" s="96" t="s">
        <v>338</v>
      </c>
      <c r="E10" s="96" t="s">
        <v>339</v>
      </c>
    </row>
    <row r="11" spans="2:5" ht="25.5" customHeight="1" x14ac:dyDescent="0.4">
      <c r="B11" s="94" t="s">
        <v>340</v>
      </c>
      <c r="C11" s="28" t="s">
        <v>341</v>
      </c>
      <c r="D11" s="28" t="s">
        <v>342</v>
      </c>
      <c r="E11" s="28" t="s">
        <v>343</v>
      </c>
    </row>
    <row r="12" spans="2:5" ht="25.5" customHeight="1" x14ac:dyDescent="0.4">
      <c r="B12" s="95" t="s">
        <v>344</v>
      </c>
      <c r="C12" s="96" t="s">
        <v>345</v>
      </c>
      <c r="D12" s="96" t="s">
        <v>346</v>
      </c>
      <c r="E12" s="96" t="s">
        <v>347</v>
      </c>
    </row>
    <row r="13" spans="2:5" ht="25.5" customHeight="1" x14ac:dyDescent="0.4">
      <c r="B13" s="94" t="s">
        <v>348</v>
      </c>
      <c r="C13" s="28" t="s">
        <v>349</v>
      </c>
      <c r="D13" s="28" t="s">
        <v>350</v>
      </c>
      <c r="E13" s="28" t="s">
        <v>351</v>
      </c>
    </row>
    <row r="14" spans="2:5" ht="25.5" customHeight="1" x14ac:dyDescent="0.4">
      <c r="B14" s="95" t="s">
        <v>352</v>
      </c>
      <c r="C14" s="96" t="s">
        <v>353</v>
      </c>
      <c r="D14" s="96" t="s">
        <v>354</v>
      </c>
      <c r="E14" s="96" t="s">
        <v>355</v>
      </c>
    </row>
  </sheetData>
  <mergeCells count="1">
    <mergeCell ref="B2:E2"/>
  </mergeCells>
  <phoneticPr fontId="4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ReadMe</vt:lpstr>
      <vt:lpstr>L0_Decomposition</vt:lpstr>
      <vt:lpstr>L1_Programs</vt:lpstr>
      <vt:lpstr>L2_Requirements</vt:lpstr>
      <vt:lpstr>L3_Genome</vt:lpstr>
      <vt:lpstr>L6_Circularity</vt:lpstr>
      <vt:lpstr>L4_Multipliers</vt:lpstr>
      <vt:lpstr>Allocation</vt:lpstr>
      <vt:lpstr>Building_Summary</vt:lpstr>
      <vt:lpstr>Transition_Engine</vt:lpstr>
      <vt:lpstr>Global_System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Yenhsing Cheng</cp:lastModifiedBy>
  <cp:revision>0</cp:revision>
  <dcterms:created xsi:type="dcterms:W3CDTF">2026-06-07T09:26:09Z</dcterms:created>
  <dcterms:modified xsi:type="dcterms:W3CDTF">2026-06-10T22:30:48Z</dcterms:modified>
  <dc:language>en-US</dc:language>
</cp:coreProperties>
</file>